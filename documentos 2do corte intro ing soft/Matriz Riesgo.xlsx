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MARIA PAULA\Downloads\"/>
    </mc:Choice>
  </mc:AlternateContent>
  <xr:revisionPtr revIDLastSave="0" documentId="13_ncr:1_{AB3C7108-C19C-4CE2-A410-4A992CC2E29F}" xr6:coauthVersionLast="47" xr6:coauthVersionMax="47" xr10:uidLastSave="{00000000-0000-0000-0000-000000000000}"/>
  <bookViews>
    <workbookView xWindow="-110" yWindow="-110" windowWidth="19420" windowHeight="10300" activeTab="4" xr2:uid="{00000000-000D-0000-FFFF-FFFF00000000}"/>
  </bookViews>
  <sheets>
    <sheet name="Fortalezas" sheetId="1" r:id="rId1"/>
    <sheet name="Debilidades" sheetId="5" r:id="rId2"/>
    <sheet name="Oportunidades" sheetId="4" r:id="rId3"/>
    <sheet name="Amenazas" sheetId="6" r:id="rId4"/>
    <sheet name="Probabilidad Vs. Impacto" sheetId="3" r:id="rId5"/>
  </sheets>
  <definedNames>
    <definedName name="AmenazasDebilidades">Fortalezas!$V$12:$V$15</definedName>
    <definedName name="OportunidadesFortalezas">Fortalezas!$X$12:$X$15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4" l="1"/>
  <c r="J8" i="4"/>
  <c r="K8" i="4" s="1"/>
  <c r="H8" i="4"/>
  <c r="H9" i="4"/>
  <c r="J9" i="4" s="1"/>
  <c r="K9" i="4" s="1"/>
  <c r="L10" i="1"/>
  <c r="L11" i="1"/>
  <c r="L12" i="1"/>
  <c r="L13" i="1"/>
  <c r="L14" i="1"/>
  <c r="L15" i="1"/>
  <c r="L16" i="1"/>
  <c r="K8" i="1"/>
  <c r="L8" i="1" s="1"/>
  <c r="K9" i="1"/>
  <c r="L9" i="1" s="1"/>
  <c r="K10" i="1"/>
  <c r="K11" i="1"/>
  <c r="K12" i="1"/>
  <c r="K13" i="1"/>
  <c r="K14" i="1"/>
  <c r="K15" i="1"/>
  <c r="K16" i="1"/>
  <c r="K17" i="1"/>
  <c r="L17" i="1" s="1"/>
  <c r="I8" i="1"/>
  <c r="I9" i="1"/>
  <c r="I10" i="1"/>
  <c r="I11" i="1"/>
  <c r="I12" i="1"/>
  <c r="I13" i="1"/>
  <c r="I14" i="1"/>
  <c r="I15" i="1"/>
  <c r="I16" i="1"/>
  <c r="I17" i="1"/>
  <c r="K6" i="1"/>
  <c r="E5" i="3"/>
  <c r="D5" i="3"/>
  <c r="I7" i="1"/>
  <c r="I6" i="1"/>
  <c r="L6" i="1" s="1"/>
  <c r="H6" i="4"/>
  <c r="H6" i="6"/>
  <c r="J6" i="6" s="1"/>
  <c r="K6" i="6" s="1"/>
  <c r="D9" i="3"/>
  <c r="H9" i="3"/>
  <c r="G9" i="3"/>
  <c r="F9" i="3"/>
  <c r="E9" i="3"/>
  <c r="H8" i="3"/>
  <c r="G8" i="3"/>
  <c r="F8" i="3"/>
  <c r="E8" i="3"/>
  <c r="D8" i="3"/>
  <c r="H7" i="3"/>
  <c r="G7" i="3"/>
  <c r="F7" i="3"/>
  <c r="E7" i="3"/>
  <c r="D7" i="3"/>
  <c r="H6" i="3"/>
  <c r="G6" i="3"/>
  <c r="F6" i="3"/>
  <c r="E6" i="3"/>
  <c r="D6" i="3"/>
  <c r="H5" i="3"/>
  <c r="G5" i="3"/>
  <c r="F5" i="3"/>
  <c r="H7" i="6"/>
  <c r="J7" i="6" s="1"/>
  <c r="K7" i="6" s="1"/>
  <c r="H8" i="6"/>
  <c r="J8" i="6" s="1"/>
  <c r="K8" i="6" s="1"/>
  <c r="H9" i="6"/>
  <c r="J9" i="6" s="1"/>
  <c r="K9" i="6" s="1"/>
  <c r="H6" i="5"/>
  <c r="J6" i="5" s="1"/>
  <c r="K6" i="5" s="1"/>
  <c r="H7" i="5"/>
  <c r="J7" i="5" s="1"/>
  <c r="K7" i="5" s="1"/>
  <c r="H8" i="5"/>
  <c r="J8" i="5" s="1"/>
  <c r="K8" i="5" s="1"/>
  <c r="H7" i="4"/>
  <c r="J7" i="4" s="1"/>
  <c r="K7" i="4" s="1"/>
  <c r="K7" i="1"/>
  <c r="L7" i="1" s="1"/>
  <c r="K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 Kennemer</author>
  </authors>
  <commentList>
    <comment ref="N4" authorId="0" shapeId="0" xr:uid="{00000000-0006-0000-0000-000001000000}">
      <text>
        <r>
          <rPr>
            <sz val="11"/>
            <color rgb="FF000000"/>
            <rFont val="Helvetica"/>
            <family val="2"/>
          </rPr>
          <t>Si el riesgo ocurre.¿Qué efectos adversos al proyecto pueden esperarse?</t>
        </r>
      </text>
    </comment>
    <comment ref="O4" authorId="0" shapeId="0" xr:uid="{00000000-0006-0000-0000-000002000000}">
      <text>
        <r>
          <rPr>
            <sz val="11"/>
            <color rgb="FF000000"/>
            <rFont val="Helvetica"/>
            <family val="2"/>
          </rPr>
          <t>¿Qué medidas se deben tomar para que no ocurra el evento de riesgo?</t>
        </r>
      </text>
    </comment>
    <comment ref="R4" authorId="0" shapeId="0" xr:uid="{00000000-0006-0000-0000-000003000000}">
      <text>
        <r>
          <rPr>
            <sz val="11"/>
            <color rgb="FF000000"/>
            <rFont val="Helvetica"/>
            <family val="2"/>
          </rPr>
          <t xml:space="preserve">¿Cómo saber cuando el riesgo se ha materializado?
</t>
        </r>
        <r>
          <rPr>
            <sz val="11"/>
            <color rgb="FF000000"/>
            <rFont val="Helvetica"/>
            <family val="2"/>
          </rPr>
          <t>¿Qué indicaciones se puede buscar?</t>
        </r>
      </text>
    </comment>
    <comment ref="S4" authorId="0" shapeId="0" xr:uid="{00000000-0006-0000-0000-000004000000}">
      <text>
        <r>
          <rPr>
            <sz val="11"/>
            <color rgb="FF000000"/>
            <rFont val="Helvetica"/>
            <family val="2"/>
          </rPr>
          <t>Si el evento ocurre, ¿qué podemos hacer para limitar los efectos dañinos?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Brian Kennemer</author>
  </authors>
  <commentList>
    <comment ref="M4" authorId="0" shapeId="0" xr:uid="{00000000-0006-0000-0200-000001000000}">
      <text>
        <r>
          <rPr>
            <sz val="11"/>
            <color indexed="81"/>
            <rFont val="Helvetica"/>
            <family val="2"/>
          </rPr>
          <t>Si el riesgo ocurre.¿Qué efectos adversos al proyecto pueden esperarse?</t>
        </r>
      </text>
    </comment>
    <comment ref="N4" authorId="0" shapeId="0" xr:uid="{00000000-0006-0000-0200-000002000000}">
      <text>
        <r>
          <rPr>
            <sz val="11"/>
            <color rgb="FF000000"/>
            <rFont val="Helvetica"/>
            <family val="2"/>
          </rPr>
          <t>¿Qué medidas se deben tomar para que no ocurra el evento de riesgo?</t>
        </r>
      </text>
    </comment>
    <comment ref="Q4" authorId="0" shapeId="0" xr:uid="{00000000-0006-0000-0200-000003000000}">
      <text>
        <r>
          <rPr>
            <sz val="11"/>
            <color rgb="FF000000"/>
            <rFont val="Helvetica"/>
            <family val="2"/>
          </rPr>
          <t xml:space="preserve">¿Cómo saber cuando el riesgo se ha materializado?
</t>
        </r>
        <r>
          <rPr>
            <sz val="11"/>
            <color rgb="FF000000"/>
            <rFont val="Helvetica"/>
            <family val="2"/>
          </rPr>
          <t xml:space="preserve">¿Qué indicaciones se puede buscar?
</t>
        </r>
      </text>
    </comment>
    <comment ref="R4" authorId="0" shapeId="0" xr:uid="{00000000-0006-0000-0200-000004000000}">
      <text>
        <r>
          <rPr>
            <sz val="11"/>
            <color indexed="81"/>
            <rFont val="Helvetica"/>
            <family val="2"/>
          </rPr>
          <t>Si el evento ocurre, ¿qué podemos hacer para limitar los efectos dañinos?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Brian Kennemer</author>
  </authors>
  <commentList>
    <comment ref="M4" authorId="0" shapeId="0" xr:uid="{00000000-0006-0000-0100-000001000000}">
      <text>
        <r>
          <rPr>
            <sz val="11"/>
            <color indexed="81"/>
            <rFont val="Helvetica"/>
            <family val="2"/>
          </rPr>
          <t>Si el riesgo ocurre.¿Qué efectos adversos al proyecto pueden esperarse?</t>
        </r>
      </text>
    </comment>
    <comment ref="N4" authorId="0" shapeId="0" xr:uid="{00000000-0006-0000-0100-000002000000}">
      <text>
        <r>
          <rPr>
            <sz val="11"/>
            <color rgb="FF000000"/>
            <rFont val="Helvetica"/>
            <family val="2"/>
          </rPr>
          <t>¿Qué medidas se deben tomar para que no ocurra el evento de riesgo?</t>
        </r>
      </text>
    </comment>
    <comment ref="Q4" authorId="0" shapeId="0" xr:uid="{00000000-0006-0000-0100-000003000000}">
      <text>
        <r>
          <rPr>
            <sz val="11"/>
            <color indexed="81"/>
            <rFont val="Helvetica"/>
            <family val="2"/>
          </rPr>
          <t>¿Cómo saber cuando el riesgo se ha materializado?
¿Qué indicaciones se puede buscar?</t>
        </r>
      </text>
    </comment>
    <comment ref="R4" authorId="0" shapeId="0" xr:uid="{00000000-0006-0000-0100-000004000000}">
      <text>
        <r>
          <rPr>
            <sz val="11"/>
            <color indexed="81"/>
            <rFont val="Helvetica"/>
            <family val="2"/>
          </rPr>
          <t>Si el evento ocurre, ¿qué podemos hacer para limitar los efectos dañinos?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Brian Kennemer</author>
  </authors>
  <commentList>
    <comment ref="M4" authorId="0" shapeId="0" xr:uid="{00000000-0006-0000-0300-000001000000}">
      <text>
        <r>
          <rPr>
            <sz val="11"/>
            <color rgb="FF000000"/>
            <rFont val="Helvetica"/>
            <family val="2"/>
          </rPr>
          <t>Si el riesgo ocurre.¿Qué efectos adversos al proyecto pueden esperarse?</t>
        </r>
      </text>
    </comment>
    <comment ref="N4" authorId="0" shapeId="0" xr:uid="{00000000-0006-0000-0300-000002000000}">
      <text>
        <r>
          <rPr>
            <sz val="11"/>
            <color rgb="FF000000"/>
            <rFont val="Helvetica"/>
            <family val="2"/>
          </rPr>
          <t>¿Qué medidas se deben tomar para que no ocurra el evento de riesgo?</t>
        </r>
      </text>
    </comment>
    <comment ref="Q4" authorId="0" shapeId="0" xr:uid="{00000000-0006-0000-0300-000003000000}">
      <text>
        <r>
          <rPr>
            <sz val="11"/>
            <color indexed="81"/>
            <rFont val="Helvetica"/>
            <family val="2"/>
          </rPr>
          <t>¿Cómo saber cuando el riesgo se ha materializado?
¿Qué indicaciones se puede buscar?</t>
        </r>
      </text>
    </comment>
    <comment ref="R4" authorId="0" shapeId="0" xr:uid="{00000000-0006-0000-0300-000004000000}">
      <text>
        <r>
          <rPr>
            <sz val="11"/>
            <color indexed="81"/>
            <rFont val="Helvetica"/>
            <family val="2"/>
          </rPr>
          <t>Si el evento ocurre, ¿qué podemos hacer para limitar los efectos dañinos?</t>
        </r>
      </text>
    </comment>
  </commentList>
</comments>
</file>

<file path=xl/sharedStrings.xml><?xml version="1.0" encoding="utf-8"?>
<sst xmlns="http://schemas.openxmlformats.org/spreadsheetml/2006/main" count="243" uniqueCount="130">
  <si>
    <t>DESCRIPCIÓN</t>
  </si>
  <si>
    <t>Votación</t>
  </si>
  <si>
    <t>Total</t>
  </si>
  <si>
    <t>1.</t>
  </si>
  <si>
    <t>2.</t>
  </si>
  <si>
    <t>3.</t>
  </si>
  <si>
    <t>Tiempo</t>
  </si>
  <si>
    <t>Costo</t>
  </si>
  <si>
    <t>Alcance</t>
  </si>
  <si>
    <t>Calidad</t>
  </si>
  <si>
    <t>Valoración del parámetro</t>
  </si>
  <si>
    <t>4.</t>
  </si>
  <si>
    <t>Probabilidad de ocurrencia del riesgo</t>
  </si>
  <si>
    <t>Probabilidad vs Impacto</t>
  </si>
  <si>
    <t>Nivel del riesgo</t>
  </si>
  <si>
    <t>MATRIZ DE PROBABILIDAD E IMPACTO</t>
  </si>
  <si>
    <t>PROBABILIDAD</t>
  </si>
  <si>
    <t>Muy Alto</t>
  </si>
  <si>
    <t>Alto</t>
  </si>
  <si>
    <t>Medio</t>
  </si>
  <si>
    <t>Bajo</t>
  </si>
  <si>
    <t>Muy Bajo</t>
  </si>
  <si>
    <t>Muy bajo</t>
  </si>
  <si>
    <t>IMPACTO</t>
  </si>
  <si>
    <t>Calificación riesgos: 1 o menos de 1</t>
  </si>
  <si>
    <t>Moderado</t>
  </si>
  <si>
    <t xml:space="preserve">Mayor que 1 y hasta 2.1     </t>
  </si>
  <si>
    <t xml:space="preserve">Mayor que 2.1                               </t>
  </si>
  <si>
    <t>Estrategias</t>
  </si>
  <si>
    <t>Mitigar</t>
  </si>
  <si>
    <t>Evitar</t>
  </si>
  <si>
    <t>Transferir</t>
  </si>
  <si>
    <t>Aceptar</t>
  </si>
  <si>
    <t>Amenazas y Debilidades</t>
  </si>
  <si>
    <t>Explotar</t>
  </si>
  <si>
    <t>compartir</t>
  </si>
  <si>
    <t>Mejorar</t>
  </si>
  <si>
    <t>Oportunidades y Fortalezas</t>
  </si>
  <si>
    <t>Nivel de Riesgo</t>
  </si>
  <si>
    <t>Efecto</t>
  </si>
  <si>
    <t>Evento Disparador</t>
  </si>
  <si>
    <t>Plan de contingencia</t>
  </si>
  <si>
    <r>
      <t xml:space="preserve">Encargado
</t>
    </r>
    <r>
      <rPr>
        <sz val="8"/>
        <color theme="1"/>
        <rFont val="Verdana"/>
        <family val="2"/>
      </rPr>
      <t>Nombre/Rol</t>
    </r>
  </si>
  <si>
    <r>
      <t xml:space="preserve">Fecha
</t>
    </r>
    <r>
      <rPr>
        <sz val="8"/>
        <color theme="1"/>
        <rFont val="Verdana"/>
        <family val="2"/>
      </rPr>
      <t>Compromiso</t>
    </r>
  </si>
  <si>
    <t>Respuesta</t>
  </si>
  <si>
    <t>Buena capacidad de investigación.</t>
  </si>
  <si>
    <t>Desarrollo fructífero y productivo.</t>
  </si>
  <si>
    <t>Equipo de desarrollo</t>
  </si>
  <si>
    <t>Caídas del hosting que dejen el servicio fuera de línea durante horas.</t>
  </si>
  <si>
    <t>Limitación de Catálogo debido a los pocos títulos disponibles en la fase inicial del proyecto.</t>
  </si>
  <si>
    <t>El diseño de la página web es muy visual e intuitivo.</t>
  </si>
  <si>
    <t>Botón para contactar con el personal en caso de ayuda siempre visible.</t>
  </si>
  <si>
    <t>Gráficos visualmente atractivos que resumen el inventario de libros físicos.</t>
  </si>
  <si>
    <t>El mockup muestra que el libro está, pero no incluye un mapa visual de en qué parte de la biblioteca física está el estante.</t>
  </si>
  <si>
    <t>No se muestra el flujo de "cómo pagar" la multa, solo que existe la multa y cuanto es el monto.</t>
  </si>
  <si>
    <t>El proceso de reservar un libro es intuitivo.</t>
  </si>
  <si>
    <t>Agregar una función para que los usuarios propongan nuevos libros al catálogo.</t>
  </si>
  <si>
    <t>Agregar notificaciones que avisen cuando un libro que estaba reservado se devuelva.</t>
  </si>
  <si>
    <t>Diseñar una sección de "Libros que te podrían gustar" basada en los préstamos físicos anteriores.</t>
  </si>
  <si>
    <t>Ataques que comprometan la base de datos de la biblioteca.</t>
  </si>
  <si>
    <t>Que el bibliotecario olvide registrar un préstamo manual  y el sistema mienta sobre la disponibilidad.</t>
  </si>
  <si>
    <t>Que varias personas reserven el mismo libro  y el sistema  no gestione bien las colas de espera.</t>
  </si>
  <si>
    <t>Las personas no tienen problemas con la página al querer buscar un libro de interés</t>
  </si>
  <si>
    <t>Los usuarios podrán resolver de forma rápida sus inquietudes.</t>
  </si>
  <si>
    <t>Gestión fácil y rápida de la biblioteca.</t>
  </si>
  <si>
    <t>Más probabilidad de que los estudiantes interesados en un libro lo reserven.</t>
  </si>
  <si>
    <t>Cuando se inicia proyecto.</t>
  </si>
  <si>
    <t>Cuando un usuario quiere buscar algo en la página.</t>
  </si>
  <si>
    <t>Cuando el usuario presente alguna inquietud.</t>
  </si>
  <si>
    <t>El administrador desea indagar como puede gestionar bien la biblioteca.</t>
  </si>
  <si>
    <t>El usuario desea reservar un libro por medio de la web.</t>
  </si>
  <si>
    <t>Máyor reserva de libros.</t>
  </si>
  <si>
    <t>Menor cantidad de multas a los usuario</t>
  </si>
  <si>
    <t>Usuarios más interesados en reservar un libro.</t>
  </si>
  <si>
    <t>Mayor visibilidad de la biblioteca al tener disponibles libros de interés.</t>
  </si>
  <si>
    <t>El usuario desea ser informado cuando un libro que estaba reservado esté disponible para pedirlo prestado.</t>
  </si>
  <si>
    <t xml:space="preserve">Los usuarios buscan tener recordatorios desde su dispositivo para no olvidarse de entregar sus libros reservados. </t>
  </si>
  <si>
    <t>Incentivar la reserva de libros.</t>
  </si>
  <si>
    <t>Los usuarios no logran encontrar los libros de su interés en la biblioteca.</t>
  </si>
  <si>
    <t>El usuario puede empezar a no tener interés de usar la página web debido a su corto catálogo.</t>
  </si>
  <si>
    <t>Los usuarios se pueden sentir perdidos en la biblioteca a la hora de querer ir a buscar el libro en físico.</t>
  </si>
  <si>
    <t>Los usuarios no sabría como debe de realizar el pago de sus multas correspondientes.</t>
  </si>
  <si>
    <t>Agregar más libros a la biblioteca virtual.</t>
  </si>
  <si>
    <t>Agregar las formas de pago por las cuales el estudiante pueda cancelar su deuda.</t>
  </si>
  <si>
    <t>Equipo de desarrollo.</t>
  </si>
  <si>
    <t>Las reservar de los estudiantes comienzan a disminuir.</t>
  </si>
  <si>
    <t>Los usuarios no encuentran fácilmente sus libros de interés.</t>
  </si>
  <si>
    <t>Se comienza a recibir una mayor cantidad de dudas de los estudiantes preguntando sobre como pueden pagar sus multas.</t>
  </si>
  <si>
    <t>Terner en la biblioteca física, la misma sección con los mismos libros que salen en la biblioteca virtual, para que los usuarios a la hora de querer ir a la biblioteca a buscar su libro de interés, no se pierdan.</t>
  </si>
  <si>
    <t>Los estudiantes que reserven libros por medio de la web, pueden presentar molestias y empezar a desconfiar en la utilidad de la reserva por la página, porque hay una posibilidad de que el libro que reservaron no se encuentre disponible.</t>
  </si>
  <si>
    <t>Los usuarios pueden presentar problemas con la página, ya que en un momento les pudo aparecer que reservaron un libro exitosamente, pero al otro momento no les puede salir la reserva.</t>
  </si>
  <si>
    <t>La biblioteca puede comenzar a presentar fallos en el riesgo de que queden registros incompletos o archivos corruptos.</t>
  </si>
  <si>
    <t xml:space="preserve">El usuario puede comenzar a perder la confianza debido a que demuestra poco profesionalismo por parte de la página. Además de que puede ocurrir ataques a la página. </t>
  </si>
  <si>
    <t>Crear un repositorio de documentación donde se guarde cada hallazgo para que el equipo no pierda tiempo repitiendo búsquedas.</t>
  </si>
  <si>
    <t>Asegurar que todo el equipo de desarrollo tenga las mismas bases de conocimiento.</t>
  </si>
  <si>
    <t>Realizar una prueba de usuario rápida (test de 5 minutos) antes de finalizar el mockup para confirmar que los iconos se entienden.</t>
  </si>
  <si>
    <t>Validar la usabilidad del diseño con usuarios reales.</t>
  </si>
  <si>
    <t>Agregar un apartado de preguntas frecuentes en las cuales el usuario pueda ver si alguna duda con la cual cuenta pueda resolverse de forma rápida, con el fin de no depender totalmente de la respuesta de los administradores.</t>
  </si>
  <si>
    <t>Garantizar rápida asistencia al usuario.</t>
  </si>
  <si>
    <t>Definir una paleta de colores de alto contraste para que los gráficos sean rápidos de entender visualmente para los administradores.</t>
  </si>
  <si>
    <t>Optimizar la visualización de los datos.</t>
  </si>
  <si>
    <t>Validar la intuitividad del diseño con usuarios reales.</t>
  </si>
  <si>
    <t>Realizar una rápida prueba de usuario en la cual se ponga a prueba de que el apartado de reservar sea facil de lograr sin ayuda de un administrador de la biblioteca.</t>
  </si>
  <si>
    <t>Mejora la el prestamo de libros.</t>
  </si>
  <si>
    <t>Cuando el usuario entre a la página e inicie sesión, le saldrá una notificación en la cual se le informará si un libro que deseaba está disponible.</t>
  </si>
  <si>
    <t>Evitar multas a los estudiantes.</t>
  </si>
  <si>
    <t>Se incluye un campo visual de "Fecha de entrega" en la lista de préstamos actuales.</t>
  </si>
  <si>
    <t>Se muestra una fila de "Sugerencias" en la pantalla de inicio del catálogo.</t>
  </si>
  <si>
    <t>Personalizar el catálogo.</t>
  </si>
  <si>
    <t>Se añade un campo de texto sencillo en la vista del catálogo para que el usuario envíe su sugerencia.</t>
  </si>
  <si>
    <t>Modificar el catálogo.</t>
  </si>
  <si>
    <t>Mantener la seguridad de los datos.</t>
  </si>
  <si>
    <t>Integrar un sistema de confirmación de reserva que el bibliotecario deba marcar como "Entregado".</t>
  </si>
  <si>
    <t>Gestionar la prioridad de reserva.</t>
  </si>
  <si>
    <t>Restaurar la disponibilidad de la plataforma en el menor tiempo posible.</t>
  </si>
  <si>
    <t>El sistema de monitoreo reporta un error "500" o los usuarios notifican que la página no carga.</t>
  </si>
  <si>
    <t>Contactar de inmediato al soporte técnico del proveedor de hosting y, si el fallo persiste, publicar un aviso temporal en redes sociales o canales de la universidad informando sobre el mantenimiento.</t>
  </si>
  <si>
    <t>Un usuario intenta reservar un libro que el sistema ya marcó como reservado por otro, o aparecen dos reservas con la misma hora exacta.</t>
  </si>
  <si>
    <t>El sistema debe asignar automáticamente un "número de turno" por milisegundos de llegada y enviar un mensaje automático al segundo usuario explicándole que ha quedado en lista de espera.</t>
  </si>
  <si>
    <t>Sincronizar el inventario físico con el inventario digital de forma manual.</t>
  </si>
  <si>
    <t>Un estudiante llega a la biblioteca a recoger un libro que aparece "Disponible" en la web, pero el bibliotecario confirma que el libro no está en el estante.</t>
  </si>
  <si>
    <t>Detección de múltiples intentos de inicio de sesión fallidos desde una misma IP o movimientos inusuales de borrado de datos.</t>
  </si>
  <si>
    <t>Restaurar la última copia de seguridad que esté limpia.</t>
  </si>
  <si>
    <t>Mejora constante.</t>
  </si>
  <si>
    <t>Implementación en alguno de los sprints que no se usa la holgura.</t>
  </si>
  <si>
    <t>5.</t>
  </si>
  <si>
    <t>Implementar alertas para recordar fechas de devolución.</t>
  </si>
  <si>
    <t>Incrementar progresivamente la cantidad de libros disponibles en la biblioteca.</t>
  </si>
  <si>
    <t>Facilitar la ubicación física del libro para reducir el tiempo de búsqueda.</t>
  </si>
  <si>
    <t>Esclarecer cuales medio de pago acepta la institución educativa.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</si>
</sst>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0"/>
      <color theme="1"/>
      <name val="Verdana"/>
      <family val="2"/>
    </font>
    <font>
      <sz val="10"/>
      <color theme="1"/>
      <name val="Verdana"/>
      <family val="2"/>
    </font>
    <font>
      <b/>
      <sz val="11"/>
      <color theme="1"/>
      <name val="Calibri"/>
      <family val="2"/>
      <scheme val="minor"/>
    </font>
    <font>
      <sz val="11"/>
      <color indexed="81"/>
      <name val="Helvetica"/>
      <family val="2"/>
    </font>
    <font>
      <b/>
      <sz val="8"/>
      <color theme="1"/>
      <name val="Verdana"/>
      <family val="2"/>
    </font>
    <font>
      <sz val="8"/>
      <color theme="1"/>
      <name val="Verdana"/>
      <family val="2"/>
    </font>
    <font>
      <sz val="8"/>
      <color theme="1"/>
      <name val="Calibri"/>
      <family val="2"/>
      <scheme val="minor"/>
    </font>
    <font>
      <sz val="11"/>
      <color rgb="FFFF0000"/>
      <name val="Calibri"/>
      <family val="2"/>
      <scheme val="minor"/>
    </font>
    <font>
      <b/>
      <sz val="11"/>
      <color rgb="FFFF0000"/>
      <name val="Calibri"/>
      <family val="2"/>
      <scheme val="minor"/>
    </font>
    <font>
      <sz val="11"/>
      <color rgb="FF000000"/>
      <name val="Helvetica"/>
      <family val="2"/>
    </font>
    <font>
      <sz val="12"/>
      <color theme="1"/>
      <name val="Calibri"/>
      <family val="2"/>
      <scheme val="minor"/>
    </font>
    <font>
      <sz val="12"/>
      <color theme="1"/>
      <name val="Verdana"/>
      <family val="2"/>
    </font>
    <font>
      <sz val="14"/>
      <color theme="1"/>
      <name val="Verdana"/>
      <family val="2"/>
    </font>
    <font>
      <b/>
      <sz val="11"/>
      <color theme="1"/>
      <name val="Verdana"/>
      <family val="2"/>
    </font>
  </fonts>
  <fills count="10">
    <fill>
      <patternFill patternType="none"/>
    </fill>
    <fill>
      <patternFill patternType="gray125"/>
    </fill>
    <fill>
      <patternFill patternType="solid">
        <fgColor rgb="FFE0E0E0"/>
        <bgColor indexed="64"/>
      </patternFill>
    </fill>
    <fill>
      <patternFill patternType="solid">
        <fgColor rgb="FFF3F3F3"/>
        <bgColor indexed="64"/>
      </patternFill>
    </fill>
    <fill>
      <patternFill patternType="solid">
        <fgColor theme="9" tint="0.3999755851924192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s>
  <borders count="3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125">
    <xf numFmtId="0" fontId="0" fillId="0" borderId="0" xfId="0"/>
    <xf numFmtId="0" fontId="1" fillId="3" borderId="6" xfId="0" applyFont="1" applyFill="1" applyBorder="1" applyAlignment="1">
      <alignment horizontal="center" wrapText="1"/>
    </xf>
    <xf numFmtId="0" fontId="0" fillId="0" borderId="0" xfId="0" applyAlignment="1">
      <alignment horizontal="center"/>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0" borderId="6" xfId="0" applyFont="1" applyBorder="1" applyAlignment="1">
      <alignment wrapText="1"/>
    </xf>
    <xf numFmtId="0" fontId="3" fillId="0" borderId="0" xfId="0" applyFont="1" applyAlignment="1">
      <alignment horizontal="center"/>
    </xf>
    <xf numFmtId="0" fontId="3" fillId="0" borderId="0" xfId="0" applyFont="1"/>
    <xf numFmtId="0" fontId="1" fillId="2" borderId="11"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9" xfId="0" applyFont="1" applyBorder="1" applyAlignment="1">
      <alignment horizontal="center" vertical="center" wrapText="1"/>
    </xf>
    <xf numFmtId="0" fontId="0" fillId="0" borderId="9" xfId="0" applyBorder="1" applyAlignment="1">
      <alignment horizontal="center"/>
    </xf>
    <xf numFmtId="0" fontId="0" fillId="0" borderId="9" xfId="0" applyBorder="1" applyAlignment="1">
      <alignment horizontal="center" vertical="center"/>
    </xf>
    <xf numFmtId="0" fontId="3" fillId="7" borderId="9" xfId="0" applyFont="1" applyFill="1" applyBorder="1"/>
    <xf numFmtId="0" fontId="3" fillId="7" borderId="10" xfId="0" applyFont="1" applyFill="1" applyBorder="1"/>
    <xf numFmtId="0" fontId="1" fillId="2" borderId="9" xfId="0" applyFont="1" applyFill="1" applyBorder="1" applyAlignment="1">
      <alignment horizontal="center" vertical="center" wrapText="1"/>
    </xf>
    <xf numFmtId="0" fontId="1" fillId="3" borderId="9" xfId="0" applyFont="1" applyFill="1" applyBorder="1" applyAlignment="1">
      <alignment horizontal="center" wrapText="1"/>
    </xf>
    <xf numFmtId="1" fontId="0" fillId="0" borderId="9" xfId="0" applyNumberFormat="1" applyBorder="1" applyAlignment="1">
      <alignment horizontal="center" vertical="center"/>
    </xf>
    <xf numFmtId="0" fontId="0" fillId="4" borderId="9" xfId="0" applyFill="1" applyBorder="1" applyAlignment="1">
      <alignment horizontal="center"/>
    </xf>
    <xf numFmtId="0" fontId="0" fillId="5" borderId="9" xfId="0" applyFill="1" applyBorder="1" applyAlignment="1">
      <alignment horizontal="center"/>
    </xf>
    <xf numFmtId="0" fontId="0" fillId="6" borderId="9" xfId="0" applyFill="1" applyBorder="1" applyAlignment="1">
      <alignment horizontal="center"/>
    </xf>
    <xf numFmtId="0" fontId="0" fillId="5" borderId="9" xfId="0" applyFill="1" applyBorder="1"/>
    <xf numFmtId="0" fontId="0" fillId="6" borderId="9" xfId="0" applyFill="1" applyBorder="1"/>
    <xf numFmtId="0" fontId="0" fillId="0" borderId="0" xfId="0" applyAlignment="1">
      <alignment wrapText="1"/>
    </xf>
    <xf numFmtId="0" fontId="8" fillId="0" borderId="0" xfId="0" applyFont="1"/>
    <xf numFmtId="0" fontId="9" fillId="0" borderId="0" xfId="0" applyFont="1" applyAlignment="1">
      <alignment wrapText="1"/>
    </xf>
    <xf numFmtId="0" fontId="3" fillId="8" borderId="9" xfId="0" applyFont="1" applyFill="1" applyBorder="1" applyAlignment="1">
      <alignment horizontal="center"/>
    </xf>
    <xf numFmtId="0" fontId="3" fillId="8" borderId="10" xfId="0" applyFont="1" applyFill="1" applyBorder="1" applyAlignment="1">
      <alignment horizontal="center"/>
    </xf>
    <xf numFmtId="0" fontId="1" fillId="3" borderId="3" xfId="0" applyFont="1" applyFill="1" applyBorder="1" applyAlignment="1">
      <alignment horizontal="center" wrapText="1"/>
    </xf>
    <xf numFmtId="0" fontId="2" fillId="0" borderId="18" xfId="0" applyFont="1" applyBorder="1" applyAlignment="1">
      <alignment horizontal="center" vertical="center" wrapText="1"/>
    </xf>
    <xf numFmtId="0" fontId="13" fillId="0" borderId="9" xfId="0" applyFont="1" applyBorder="1" applyAlignment="1">
      <alignment wrapText="1"/>
    </xf>
    <xf numFmtId="0" fontId="13" fillId="0" borderId="17" xfId="0" applyFont="1" applyBorder="1" applyAlignment="1">
      <alignment wrapText="1"/>
    </xf>
    <xf numFmtId="0" fontId="12" fillId="0" borderId="6" xfId="0" applyFont="1" applyBorder="1" applyAlignment="1">
      <alignment wrapText="1"/>
    </xf>
    <xf numFmtId="0" fontId="1" fillId="3" borderId="12" xfId="0" applyFont="1" applyFill="1" applyBorder="1" applyAlignment="1">
      <alignment horizontal="center" wrapText="1"/>
    </xf>
    <xf numFmtId="0" fontId="12" fillId="0" borderId="9" xfId="0" applyFont="1" applyBorder="1" applyAlignment="1">
      <alignment vertical="top" wrapText="1"/>
    </xf>
    <xf numFmtId="0" fontId="12" fillId="0" borderId="10" xfId="0" applyFont="1" applyBorder="1" applyAlignment="1">
      <alignment vertical="top" wrapText="1"/>
    </xf>
    <xf numFmtId="0" fontId="12" fillId="0" borderId="17" xfId="0" applyFont="1" applyBorder="1" applyAlignment="1">
      <alignment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12" fillId="0" borderId="6" xfId="0" applyFont="1" applyBorder="1" applyAlignment="1">
      <alignment vertical="top" wrapText="1"/>
    </xf>
    <xf numFmtId="0" fontId="11" fillId="0" borderId="9" xfId="0" applyFont="1" applyBorder="1" applyAlignment="1">
      <alignment horizontal="center" vertical="center"/>
    </xf>
    <xf numFmtId="0" fontId="1" fillId="3" borderId="7" xfId="0" applyFont="1" applyFill="1" applyBorder="1" applyAlignment="1">
      <alignment horizontal="center" wrapText="1"/>
    </xf>
    <xf numFmtId="0" fontId="12" fillId="0" borderId="18"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7" xfId="0" applyFont="1" applyBorder="1" applyAlignment="1">
      <alignment horizontal="center" wrapText="1"/>
    </xf>
    <xf numFmtId="0" fontId="2"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1" fillId="3" borderId="0" xfId="0" applyFont="1" applyFill="1" applyAlignment="1">
      <alignment horizontal="center" wrapText="1"/>
    </xf>
    <xf numFmtId="0" fontId="13" fillId="0" borderId="0" xfId="0" applyFont="1" applyAlignment="1">
      <alignment wrapText="1"/>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horizontal="center" vertical="center" wrapText="1"/>
    </xf>
    <xf numFmtId="0" fontId="2" fillId="0" borderId="0" xfId="0" applyFont="1" applyAlignment="1">
      <alignment wrapText="1"/>
    </xf>
    <xf numFmtId="0" fontId="12" fillId="0" borderId="9" xfId="0" applyFont="1" applyBorder="1" applyAlignment="1">
      <alignment vertical="center" wrapText="1"/>
    </xf>
    <xf numFmtId="0" fontId="1" fillId="3" borderId="1" xfId="0" applyFont="1" applyFill="1" applyBorder="1" applyAlignment="1">
      <alignment horizontal="center" wrapText="1"/>
    </xf>
    <xf numFmtId="0" fontId="13" fillId="0" borderId="25" xfId="0" applyFont="1" applyBorder="1" applyAlignment="1">
      <alignment horizontal="center" wrapText="1"/>
    </xf>
    <xf numFmtId="0" fontId="11" fillId="0" borderId="2" xfId="0" applyFont="1" applyBorder="1" applyAlignment="1">
      <alignment horizontal="center" vertical="center"/>
    </xf>
    <xf numFmtId="0" fontId="11" fillId="0" borderId="10" xfId="0" applyFont="1" applyBorder="1" applyAlignment="1">
      <alignment horizontal="center" vertical="center"/>
    </xf>
    <xf numFmtId="0" fontId="2" fillId="0" borderId="0" xfId="0" applyFont="1" applyAlignment="1">
      <alignment horizontal="left" vertical="center" wrapText="1"/>
    </xf>
    <xf numFmtId="0" fontId="9" fillId="0" borderId="0" xfId="0" applyFont="1" applyAlignment="1">
      <alignment horizontal="center" vertical="center" wrapText="1"/>
    </xf>
    <xf numFmtId="0" fontId="12" fillId="0" borderId="9" xfId="0" applyFont="1" applyBorder="1" applyAlignment="1">
      <alignment vertical="center"/>
    </xf>
    <xf numFmtId="0" fontId="12" fillId="0" borderId="10" xfId="0" applyFont="1" applyBorder="1" applyAlignment="1">
      <alignment vertical="center" wrapText="1"/>
    </xf>
    <xf numFmtId="0" fontId="12" fillId="0" borderId="17" xfId="0" applyFont="1" applyBorder="1" applyAlignment="1">
      <alignment vertical="center" wrapText="1"/>
    </xf>
    <xf numFmtId="0" fontId="12" fillId="0" borderId="18" xfId="0" applyFont="1" applyBorder="1" applyAlignment="1">
      <alignment vertical="center" wrapText="1"/>
    </xf>
    <xf numFmtId="0" fontId="12" fillId="0" borderId="17" xfId="0" applyFont="1" applyBorder="1" applyAlignment="1">
      <alignment vertical="center"/>
    </xf>
    <xf numFmtId="0" fontId="1" fillId="3" borderId="13" xfId="0" applyFont="1" applyFill="1" applyBorder="1" applyAlignment="1">
      <alignment horizontal="center" wrapText="1"/>
    </xf>
    <xf numFmtId="0" fontId="13" fillId="0" borderId="25" xfId="0" applyFont="1" applyBorder="1" applyAlignment="1">
      <alignment wrapText="1"/>
    </xf>
    <xf numFmtId="0" fontId="2" fillId="0" borderId="2" xfId="0" applyFont="1" applyBorder="1" applyAlignment="1">
      <alignment horizontal="center" vertical="center" wrapText="1"/>
    </xf>
    <xf numFmtId="0" fontId="12" fillId="0" borderId="3" xfId="0" applyFont="1" applyBorder="1" applyAlignment="1">
      <alignment vertical="top" wrapText="1"/>
    </xf>
    <xf numFmtId="0" fontId="12" fillId="0" borderId="4"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12" fillId="0" borderId="17"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14" fontId="12" fillId="0" borderId="9" xfId="0" applyNumberFormat="1" applyFont="1" applyBorder="1" applyAlignment="1">
      <alignment horizontal="center" vertical="center"/>
    </xf>
    <xf numFmtId="14"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14" fontId="12" fillId="0" borderId="9" xfId="0" applyNumberFormat="1" applyFont="1" applyBorder="1" applyAlignment="1">
      <alignment horizontal="center" vertical="center" wrapText="1"/>
    </xf>
    <xf numFmtId="0" fontId="13" fillId="0" borderId="26" xfId="0" applyFont="1" applyBorder="1" applyAlignment="1">
      <alignment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12" fillId="0" borderId="27" xfId="0" applyFont="1" applyBorder="1" applyAlignment="1">
      <alignment horizontal="center" vertical="center"/>
    </xf>
    <xf numFmtId="0" fontId="12" fillId="0" borderId="31" xfId="0" applyFont="1" applyBorder="1" applyAlignment="1">
      <alignment horizontal="center" vertical="center"/>
    </xf>
    <xf numFmtId="0" fontId="12" fillId="0" borderId="25" xfId="0" applyFont="1" applyBorder="1" applyAlignment="1">
      <alignment horizontal="center" vertical="center"/>
    </xf>
    <xf numFmtId="0" fontId="12" fillId="0" borderId="32" xfId="0" applyFont="1" applyBorder="1" applyAlignment="1">
      <alignment horizontal="center" vertical="center"/>
    </xf>
    <xf numFmtId="0" fontId="12" fillId="0" borderId="28" xfId="0" applyFont="1" applyBorder="1" applyAlignment="1">
      <alignment horizontal="center" vertical="center"/>
    </xf>
    <xf numFmtId="0" fontId="5" fillId="2" borderId="9" xfId="0" applyFont="1" applyFill="1" applyBorder="1" applyAlignment="1">
      <alignment horizontal="center" vertical="center" wrapText="1"/>
    </xf>
    <xf numFmtId="0" fontId="7" fillId="0" borderId="9" xfId="0" applyFont="1" applyBorder="1" applyAlignment="1">
      <alignment horizontal="center" vertical="center" wrapText="1"/>
    </xf>
    <xf numFmtId="0" fontId="1" fillId="2" borderId="9" xfId="0" applyFont="1"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1" fillId="2" borderId="14" xfId="0" applyFont="1" applyFill="1" applyBorder="1" applyAlignment="1">
      <alignment horizontal="center" vertical="center" wrapText="1"/>
    </xf>
    <xf numFmtId="0" fontId="0" fillId="0" borderId="15" xfId="0" applyBorder="1" applyAlignment="1">
      <alignment horizontal="center" vertical="center"/>
    </xf>
    <xf numFmtId="0" fontId="1" fillId="2" borderId="9" xfId="0" applyFont="1" applyFill="1" applyBorder="1" applyAlignment="1">
      <alignment horizontal="center" wrapText="1"/>
    </xf>
    <xf numFmtId="0" fontId="5" fillId="2" borderId="14" xfId="0" applyFont="1" applyFill="1" applyBorder="1" applyAlignment="1">
      <alignment horizontal="center" vertical="center" wrapText="1"/>
    </xf>
    <xf numFmtId="0" fontId="7" fillId="0" borderId="15" xfId="0" applyFont="1" applyBorder="1" applyAlignment="1">
      <alignment horizontal="center" vertic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7" xfId="0" applyFont="1" applyFill="1" applyBorder="1" applyAlignment="1">
      <alignment horizontal="center" wrapText="1"/>
    </xf>
    <xf numFmtId="0" fontId="1" fillId="2" borderId="5" xfId="0" applyFont="1" applyFill="1" applyBorder="1" applyAlignment="1">
      <alignment horizontal="center" wrapText="1"/>
    </xf>
    <xf numFmtId="0" fontId="1" fillId="2" borderId="10" xfId="0" applyFont="1" applyFill="1" applyBorder="1" applyAlignment="1">
      <alignment horizontal="center" vertical="center" wrapText="1"/>
    </xf>
    <xf numFmtId="0" fontId="3" fillId="0" borderId="6" xfId="0" applyFont="1" applyBorder="1" applyAlignment="1">
      <alignment horizontal="center" vertical="center" wrapText="1"/>
    </xf>
    <xf numFmtId="0" fontId="0" fillId="0" borderId="6" xfId="0" applyBorder="1" applyAlignment="1">
      <alignment horizontal="center" vertical="center"/>
    </xf>
    <xf numFmtId="0" fontId="7" fillId="0" borderId="16" xfId="0" applyFont="1" applyBorder="1" applyAlignment="1">
      <alignment horizontal="center" vertical="center"/>
    </xf>
    <xf numFmtId="0" fontId="0" fillId="0" borderId="16" xfId="0" applyBorder="1" applyAlignment="1">
      <alignment horizontal="center" vertical="center"/>
    </xf>
    <xf numFmtId="0" fontId="1" fillId="2" borderId="11" xfId="0" applyFont="1" applyFill="1" applyBorder="1" applyAlignment="1">
      <alignment horizont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1" fillId="2" borderId="13" xfId="0" applyFont="1" applyFill="1" applyBorder="1" applyAlignment="1">
      <alignment horizontal="center" wrapText="1"/>
    </xf>
    <xf numFmtId="0" fontId="0" fillId="0" borderId="9" xfId="0" applyBorder="1" applyAlignment="1">
      <alignment horizontal="left"/>
    </xf>
    <xf numFmtId="0" fontId="3" fillId="0" borderId="0" xfId="0" applyFont="1" applyAlignment="1">
      <alignment horizontal="center"/>
    </xf>
    <xf numFmtId="0" fontId="3" fillId="0" borderId="0" xfId="0" applyFont="1" applyAlignment="1">
      <alignment horizontal="center" vertical="center" textRotation="90"/>
    </xf>
    <xf numFmtId="0" fontId="0" fillId="0" borderId="0" xfId="0" applyAlignment="1">
      <alignment horizontal="center" vertical="center" textRotation="90"/>
    </xf>
    <xf numFmtId="0" fontId="2" fillId="9" borderId="9" xfId="0" applyFont="1" applyFill="1" applyBorder="1"/>
    <xf numFmtId="0" fontId="0" fillId="9" borderId="9" xfId="0" applyFill="1" applyBorder="1"/>
    <xf numFmtId="0" fontId="0" fillId="9" borderId="29" xfId="0" applyFill="1" applyBorder="1"/>
    <xf numFmtId="0" fontId="0" fillId="9" borderId="21" xfId="0" applyFill="1" applyBorder="1"/>
    <xf numFmtId="0" fontId="0" fillId="9" borderId="30" xfId="0" applyFill="1" applyBorder="1"/>
    <xf numFmtId="0" fontId="14" fillId="9" borderId="17" xfId="0" applyFont="1" applyFill="1" applyBorder="1" applyAlignment="1">
      <alignment horizontal="center"/>
    </xf>
  </cellXfs>
  <cellStyles count="1">
    <cellStyle name="Normal" xfId="0" builtinId="0"/>
  </cellStyles>
  <dxfs count="12">
    <dxf>
      <fill>
        <patternFill>
          <bgColor theme="7" tint="0.59996337778862885"/>
        </patternFill>
      </fill>
    </dxf>
    <dxf>
      <fill>
        <patternFill>
          <bgColor rgb="FF92D050"/>
        </patternFill>
      </fill>
    </dxf>
    <dxf>
      <fill>
        <patternFill>
          <bgColor theme="9" tint="0.39994506668294322"/>
        </patternFill>
      </fill>
    </dxf>
    <dxf>
      <fill>
        <patternFill>
          <bgColor theme="7" tint="0.59996337778862885"/>
        </patternFill>
      </fill>
    </dxf>
    <dxf>
      <fill>
        <patternFill>
          <bgColor rgb="FF92D050"/>
        </patternFill>
      </fill>
    </dxf>
    <dxf>
      <fill>
        <patternFill>
          <bgColor theme="9" tint="0.39994506668294322"/>
        </patternFill>
      </fill>
    </dxf>
    <dxf>
      <fill>
        <patternFill>
          <bgColor theme="7" tint="0.59996337778862885"/>
        </patternFill>
      </fill>
    </dxf>
    <dxf>
      <fill>
        <patternFill>
          <bgColor rgb="FF92D050"/>
        </patternFill>
      </fill>
    </dxf>
    <dxf>
      <fill>
        <patternFill>
          <bgColor theme="9" tint="0.39994506668294322"/>
        </patternFill>
      </fill>
    </dxf>
    <dxf>
      <fill>
        <patternFill>
          <bgColor theme="7" tint="0.59996337778862885"/>
        </patternFill>
      </fill>
    </dxf>
    <dxf>
      <fill>
        <patternFill>
          <bgColor rgb="FF92D050"/>
        </patternFill>
      </fill>
    </dxf>
    <dxf>
      <fill>
        <patternFill>
          <bgColor theme="9"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X18"/>
  <sheetViews>
    <sheetView topLeftCell="A6" zoomScale="75" zoomScaleNormal="60" workbookViewId="0">
      <selection activeCell="A17" sqref="A17"/>
    </sheetView>
  </sheetViews>
  <sheetFormatPr baseColWidth="10" defaultRowHeight="14.5" x14ac:dyDescent="0.35"/>
  <cols>
    <col min="2" max="2" width="5.453125" customWidth="1"/>
    <col min="3" max="3" width="6.453125" customWidth="1"/>
    <col min="4" max="4" width="40" customWidth="1"/>
    <col min="9" max="9" width="11.453125" style="7"/>
    <col min="10" max="10" width="15.6328125" customWidth="1"/>
    <col min="11" max="11" width="15.36328125" customWidth="1"/>
    <col min="13" max="13" width="13.08984375" bestFit="1" customWidth="1"/>
    <col min="14" max="14" width="31.08984375" customWidth="1"/>
    <col min="15" max="15" width="33.36328125" customWidth="1"/>
    <col min="16" max="16" width="27.453125" customWidth="1"/>
    <col min="17" max="17" width="25.81640625" customWidth="1"/>
    <col min="18" max="18" width="25.6328125" customWidth="1"/>
    <col min="19" max="19" width="48.1796875" customWidth="1"/>
  </cols>
  <sheetData>
    <row r="2" spans="3:24" ht="15" thickBot="1" x14ac:dyDescent="0.4"/>
    <row r="3" spans="3:24" ht="15.75" customHeight="1" thickBot="1" x14ac:dyDescent="0.4">
      <c r="D3" s="13" t="s">
        <v>10</v>
      </c>
      <c r="E3" s="26">
        <v>0.2</v>
      </c>
      <c r="F3" s="26">
        <v>0.3</v>
      </c>
      <c r="G3" s="26">
        <v>0.4</v>
      </c>
      <c r="H3" s="26">
        <v>0.1</v>
      </c>
      <c r="I3" s="6"/>
      <c r="K3" s="14" t="s">
        <v>14</v>
      </c>
    </row>
    <row r="4" spans="3:24" ht="15.75" customHeight="1" thickBot="1" x14ac:dyDescent="0.4">
      <c r="C4" s="100" t="s">
        <v>0</v>
      </c>
      <c r="D4" s="101"/>
      <c r="E4" s="104" t="s">
        <v>1</v>
      </c>
      <c r="F4" s="105"/>
      <c r="G4" s="105"/>
      <c r="H4" s="105"/>
      <c r="I4" s="106" t="s">
        <v>2</v>
      </c>
      <c r="J4" s="106" t="s">
        <v>12</v>
      </c>
      <c r="K4" s="106" t="s">
        <v>13</v>
      </c>
      <c r="L4" s="95" t="s">
        <v>38</v>
      </c>
      <c r="M4" s="95" t="s">
        <v>28</v>
      </c>
      <c r="N4" s="95" t="s">
        <v>39</v>
      </c>
      <c r="O4" s="95" t="s">
        <v>44</v>
      </c>
      <c r="P4" s="98" t="s">
        <v>42</v>
      </c>
      <c r="Q4" s="98" t="s">
        <v>43</v>
      </c>
      <c r="R4" s="95" t="s">
        <v>40</v>
      </c>
      <c r="S4" s="95" t="s">
        <v>41</v>
      </c>
    </row>
    <row r="5" spans="3:24" ht="28.5" customHeight="1" thickBot="1" x14ac:dyDescent="0.4">
      <c r="C5" s="102"/>
      <c r="D5" s="103"/>
      <c r="E5" s="3" t="s">
        <v>6</v>
      </c>
      <c r="F5" s="3" t="s">
        <v>7</v>
      </c>
      <c r="G5" s="3" t="s">
        <v>8</v>
      </c>
      <c r="H5" s="4" t="s">
        <v>9</v>
      </c>
      <c r="I5" s="107"/>
      <c r="J5" s="108"/>
      <c r="K5" s="108"/>
      <c r="L5" s="96"/>
      <c r="M5" s="96"/>
      <c r="N5" s="96"/>
      <c r="O5" s="96"/>
      <c r="P5" s="99"/>
      <c r="Q5" s="99"/>
      <c r="R5" s="96"/>
      <c r="S5" s="96"/>
    </row>
    <row r="6" spans="3:24" ht="105" customHeight="1" thickBot="1" x14ac:dyDescent="0.4">
      <c r="C6" s="1" t="s">
        <v>3</v>
      </c>
      <c r="D6" s="70" t="s">
        <v>45</v>
      </c>
      <c r="E6" s="70">
        <v>3</v>
      </c>
      <c r="F6" s="70">
        <v>2</v>
      </c>
      <c r="G6" s="70">
        <v>4</v>
      </c>
      <c r="H6" s="70">
        <v>4</v>
      </c>
      <c r="I6" s="38">
        <f>(E6*$E$3)+(F6*$F$3)+(G6*$G$3)+(H6*$H$3)</f>
        <v>3.2</v>
      </c>
      <c r="J6" s="37">
        <v>0.3</v>
      </c>
      <c r="K6" s="37">
        <f>+J6*I6</f>
        <v>0.96</v>
      </c>
      <c r="L6" s="12" t="str">
        <f>IF(K6&lt;=1,"Bajo",IF(AND(K6&gt;1,K6&lt;=2.1),"Moderado","Alto"))</f>
        <v>Bajo</v>
      </c>
      <c r="M6" s="37" t="s">
        <v>34</v>
      </c>
      <c r="N6" s="54" t="s">
        <v>46</v>
      </c>
      <c r="O6" s="54" t="s">
        <v>94</v>
      </c>
      <c r="P6" s="61" t="s">
        <v>47</v>
      </c>
      <c r="Q6" s="37" t="s">
        <v>123</v>
      </c>
      <c r="R6" s="54" t="s">
        <v>66</v>
      </c>
      <c r="S6" s="54" t="s">
        <v>93</v>
      </c>
    </row>
    <row r="7" spans="3:24" ht="77.400000000000006" customHeight="1" thickBot="1" x14ac:dyDescent="0.4">
      <c r="C7" s="33" t="s">
        <v>4</v>
      </c>
      <c r="D7" s="71" t="s">
        <v>50</v>
      </c>
      <c r="E7" s="71">
        <v>3</v>
      </c>
      <c r="F7" s="71">
        <v>2</v>
      </c>
      <c r="G7" s="71">
        <v>4</v>
      </c>
      <c r="H7" s="71">
        <v>5</v>
      </c>
      <c r="I7" s="38">
        <f>(E7*$E$3)+(F7*$F$3)+(G7*$G$3)+(H7*$H$3)</f>
        <v>3.3000000000000003</v>
      </c>
      <c r="J7" s="37">
        <v>0.4</v>
      </c>
      <c r="K7" s="37">
        <f>+J7*I7</f>
        <v>1.3200000000000003</v>
      </c>
      <c r="L7" s="12" t="str">
        <f>IF(K7&lt;=1,"Bajo",IF(AND(K7&gt;1,K7&lt;=2.1),"Moderado","Alto"))</f>
        <v>Moderado</v>
      </c>
      <c r="M7" s="37" t="s">
        <v>32</v>
      </c>
      <c r="N7" s="54" t="s">
        <v>62</v>
      </c>
      <c r="O7" s="54" t="s">
        <v>96</v>
      </c>
      <c r="P7" s="54" t="s">
        <v>47</v>
      </c>
      <c r="Q7" s="78" t="s">
        <v>123</v>
      </c>
      <c r="R7" s="62" t="s">
        <v>67</v>
      </c>
      <c r="S7" s="54" t="s">
        <v>95</v>
      </c>
    </row>
    <row r="8" spans="3:24" ht="90.5" thickBot="1" x14ac:dyDescent="0.4">
      <c r="C8" s="119">
        <v>3</v>
      </c>
      <c r="D8" s="38" t="s">
        <v>51</v>
      </c>
      <c r="E8" s="85">
        <v>2</v>
      </c>
      <c r="F8" s="72">
        <v>2</v>
      </c>
      <c r="G8" s="72">
        <v>3</v>
      </c>
      <c r="H8" s="73">
        <v>4</v>
      </c>
      <c r="I8" s="42">
        <f t="shared" ref="I8:I17" si="0">(E8*$E$3)+(F8*$F$3)+(G8*$G$3)+(H8*$H$3)</f>
        <v>2.6</v>
      </c>
      <c r="J8" s="37">
        <v>0.4</v>
      </c>
      <c r="K8" s="37">
        <f t="shared" ref="K8:K17" si="1">+J8*I8</f>
        <v>1.04</v>
      </c>
      <c r="L8" s="12" t="str">
        <f t="shared" ref="L8:L17" si="2">IF(K8&lt;=1,"Bajo",IF(AND(K8&gt;1,K8&lt;=2.1),"Moderado","Alto"))</f>
        <v>Moderado</v>
      </c>
      <c r="M8" s="37" t="s">
        <v>32</v>
      </c>
      <c r="N8" s="54" t="s">
        <v>63</v>
      </c>
      <c r="O8" s="54" t="s">
        <v>98</v>
      </c>
      <c r="P8" s="54" t="s">
        <v>47</v>
      </c>
      <c r="Q8" s="79">
        <v>46110</v>
      </c>
      <c r="R8" s="63" t="s">
        <v>68</v>
      </c>
      <c r="S8" s="64" t="s">
        <v>97</v>
      </c>
    </row>
    <row r="9" spans="3:24" ht="60.5" thickBot="1" x14ac:dyDescent="0.4">
      <c r="C9" s="120">
        <v>4</v>
      </c>
      <c r="D9" s="38" t="s">
        <v>52</v>
      </c>
      <c r="E9" s="88">
        <v>3</v>
      </c>
      <c r="F9" s="74">
        <v>2</v>
      </c>
      <c r="G9" s="74">
        <v>3</v>
      </c>
      <c r="H9" s="75">
        <v>4</v>
      </c>
      <c r="I9" s="42">
        <f t="shared" si="0"/>
        <v>2.8000000000000003</v>
      </c>
      <c r="J9" s="37">
        <v>0.4</v>
      </c>
      <c r="K9" s="37">
        <f t="shared" si="1"/>
        <v>1.1200000000000001</v>
      </c>
      <c r="L9" s="12" t="str">
        <f t="shared" si="2"/>
        <v>Moderado</v>
      </c>
      <c r="M9" s="37" t="s">
        <v>32</v>
      </c>
      <c r="N9" s="54" t="s">
        <v>64</v>
      </c>
      <c r="O9" s="54" t="s">
        <v>100</v>
      </c>
      <c r="P9" s="54" t="s">
        <v>47</v>
      </c>
      <c r="Q9" s="79">
        <v>46166</v>
      </c>
      <c r="R9" s="63" t="s">
        <v>69</v>
      </c>
      <c r="S9" s="64" t="s">
        <v>99</v>
      </c>
    </row>
    <row r="10" spans="3:24" ht="15.5" hidden="1" thickBot="1" x14ac:dyDescent="0.4">
      <c r="C10" s="121"/>
      <c r="D10" s="89"/>
      <c r="E10" s="74"/>
      <c r="F10" s="74"/>
      <c r="G10" s="74"/>
      <c r="H10" s="75"/>
      <c r="I10" s="42">
        <f t="shared" si="0"/>
        <v>0</v>
      </c>
      <c r="J10" s="37">
        <v>4</v>
      </c>
      <c r="K10" s="37">
        <f t="shared" si="1"/>
        <v>0</v>
      </c>
      <c r="L10" s="12" t="str">
        <f t="shared" si="2"/>
        <v>Bajo</v>
      </c>
      <c r="M10" s="37" t="s">
        <v>32</v>
      </c>
      <c r="N10" s="54"/>
      <c r="O10" s="54"/>
      <c r="P10" s="54"/>
      <c r="Q10" s="80"/>
      <c r="R10" s="65"/>
      <c r="S10" s="64"/>
      <c r="V10" t="s">
        <v>33</v>
      </c>
      <c r="X10" t="s">
        <v>37</v>
      </c>
    </row>
    <row r="11" spans="3:24" ht="15.5" hidden="1" thickBot="1" x14ac:dyDescent="0.4">
      <c r="C11" s="122"/>
      <c r="D11" s="74"/>
      <c r="E11" s="74"/>
      <c r="F11" s="74"/>
      <c r="G11" s="74"/>
      <c r="H11" s="75"/>
      <c r="I11" s="42">
        <f t="shared" si="0"/>
        <v>0</v>
      </c>
      <c r="J11" s="37">
        <v>4</v>
      </c>
      <c r="K11" s="37">
        <f t="shared" si="1"/>
        <v>0</v>
      </c>
      <c r="L11" s="12" t="str">
        <f t="shared" si="2"/>
        <v>Bajo</v>
      </c>
      <c r="M11" s="37" t="s">
        <v>32</v>
      </c>
      <c r="N11" s="54"/>
      <c r="O11" s="54"/>
      <c r="P11" s="54"/>
      <c r="Q11" s="80"/>
      <c r="R11" s="65"/>
      <c r="S11" s="64"/>
      <c r="V11" t="s">
        <v>28</v>
      </c>
      <c r="X11" t="s">
        <v>28</v>
      </c>
    </row>
    <row r="12" spans="3:24" ht="15.5" hidden="1" thickBot="1" x14ac:dyDescent="0.4">
      <c r="C12" s="122"/>
      <c r="D12" s="74"/>
      <c r="E12" s="74"/>
      <c r="F12" s="74"/>
      <c r="G12" s="74"/>
      <c r="H12" s="75"/>
      <c r="I12" s="42">
        <f t="shared" si="0"/>
        <v>0</v>
      </c>
      <c r="J12" s="37">
        <v>4</v>
      </c>
      <c r="K12" s="37">
        <f t="shared" si="1"/>
        <v>0</v>
      </c>
      <c r="L12" s="12" t="str">
        <f t="shared" si="2"/>
        <v>Bajo</v>
      </c>
      <c r="M12" s="37" t="s">
        <v>32</v>
      </c>
      <c r="N12" s="54"/>
      <c r="O12" s="54"/>
      <c r="P12" s="54"/>
      <c r="Q12" s="80"/>
      <c r="R12" s="65"/>
      <c r="S12" s="64"/>
      <c r="V12" t="s">
        <v>30</v>
      </c>
      <c r="X12" t="s">
        <v>34</v>
      </c>
    </row>
    <row r="13" spans="3:24" ht="15.5" hidden="1" thickBot="1" x14ac:dyDescent="0.4">
      <c r="C13" s="122"/>
      <c r="D13" s="74"/>
      <c r="E13" s="74"/>
      <c r="F13" s="74"/>
      <c r="G13" s="74"/>
      <c r="H13" s="75"/>
      <c r="I13" s="42">
        <f t="shared" si="0"/>
        <v>0</v>
      </c>
      <c r="J13" s="37">
        <v>4</v>
      </c>
      <c r="K13" s="37">
        <f t="shared" si="1"/>
        <v>0</v>
      </c>
      <c r="L13" s="12" t="str">
        <f t="shared" si="2"/>
        <v>Bajo</v>
      </c>
      <c r="M13" s="37" t="s">
        <v>32</v>
      </c>
      <c r="N13" s="54"/>
      <c r="O13" s="54"/>
      <c r="P13" s="54"/>
      <c r="Q13" s="80"/>
      <c r="R13" s="65"/>
      <c r="S13" s="64"/>
      <c r="V13" t="s">
        <v>31</v>
      </c>
      <c r="X13" t="s">
        <v>35</v>
      </c>
    </row>
    <row r="14" spans="3:24" ht="15.5" hidden="1" thickBot="1" x14ac:dyDescent="0.4">
      <c r="C14" s="122"/>
      <c r="D14" s="74"/>
      <c r="E14" s="74"/>
      <c r="F14" s="74"/>
      <c r="G14" s="74"/>
      <c r="H14" s="75"/>
      <c r="I14" s="42">
        <f t="shared" si="0"/>
        <v>0</v>
      </c>
      <c r="J14" s="37">
        <v>4</v>
      </c>
      <c r="K14" s="37">
        <f t="shared" si="1"/>
        <v>0</v>
      </c>
      <c r="L14" s="12" t="str">
        <f t="shared" si="2"/>
        <v>Bajo</v>
      </c>
      <c r="M14" s="37" t="s">
        <v>32</v>
      </c>
      <c r="N14" s="54"/>
      <c r="O14" s="54"/>
      <c r="P14" s="54"/>
      <c r="Q14" s="80"/>
      <c r="R14" s="65"/>
      <c r="S14" s="64"/>
      <c r="V14" t="s">
        <v>29</v>
      </c>
      <c r="X14" t="s">
        <v>36</v>
      </c>
    </row>
    <row r="15" spans="3:24" ht="15.5" hidden="1" thickBot="1" x14ac:dyDescent="0.4">
      <c r="C15" s="122"/>
      <c r="D15" s="74"/>
      <c r="E15" s="74"/>
      <c r="F15" s="74"/>
      <c r="G15" s="74"/>
      <c r="H15" s="75"/>
      <c r="I15" s="42">
        <f t="shared" si="0"/>
        <v>0</v>
      </c>
      <c r="J15" s="37">
        <v>4</v>
      </c>
      <c r="K15" s="37">
        <f t="shared" si="1"/>
        <v>0</v>
      </c>
      <c r="L15" s="12" t="str">
        <f t="shared" si="2"/>
        <v>Bajo</v>
      </c>
      <c r="M15" s="37" t="s">
        <v>32</v>
      </c>
      <c r="N15" s="54"/>
      <c r="O15" s="54"/>
      <c r="P15" s="54"/>
      <c r="Q15" s="80"/>
      <c r="R15" s="65"/>
      <c r="S15" s="64"/>
      <c r="V15" t="s">
        <v>32</v>
      </c>
      <c r="X15" t="s">
        <v>32</v>
      </c>
    </row>
    <row r="16" spans="3:24" ht="15.5" hidden="1" thickBot="1" x14ac:dyDescent="0.4">
      <c r="C16" s="122"/>
      <c r="D16" s="87"/>
      <c r="E16" s="74"/>
      <c r="F16" s="74"/>
      <c r="G16" s="74"/>
      <c r="H16" s="75"/>
      <c r="I16" s="42">
        <f t="shared" si="0"/>
        <v>0</v>
      </c>
      <c r="J16" s="37">
        <v>4</v>
      </c>
      <c r="K16" s="37">
        <f t="shared" si="1"/>
        <v>0</v>
      </c>
      <c r="L16" s="12" t="str">
        <f t="shared" si="2"/>
        <v>Bajo</v>
      </c>
      <c r="M16" s="37" t="s">
        <v>32</v>
      </c>
      <c r="N16" s="54"/>
      <c r="O16" s="54"/>
      <c r="P16" s="54"/>
      <c r="Q16" s="80"/>
      <c r="R16" s="65"/>
      <c r="S16" s="64"/>
    </row>
    <row r="17" spans="3:19" ht="85.25" customHeight="1" thickBot="1" x14ac:dyDescent="0.4">
      <c r="C17" s="123">
        <v>5</v>
      </c>
      <c r="D17" s="38" t="s">
        <v>55</v>
      </c>
      <c r="E17" s="86">
        <v>3</v>
      </c>
      <c r="F17" s="76">
        <v>3</v>
      </c>
      <c r="G17" s="76">
        <v>4</v>
      </c>
      <c r="H17" s="77">
        <v>4</v>
      </c>
      <c r="I17" s="42">
        <f t="shared" si="0"/>
        <v>3.5</v>
      </c>
      <c r="J17" s="37">
        <v>0.4</v>
      </c>
      <c r="K17" s="37">
        <f t="shared" si="1"/>
        <v>1.4000000000000001</v>
      </c>
      <c r="L17" s="12" t="str">
        <f t="shared" si="2"/>
        <v>Moderado</v>
      </c>
      <c r="M17" s="37" t="s">
        <v>32</v>
      </c>
      <c r="N17" s="54" t="s">
        <v>65</v>
      </c>
      <c r="O17" s="54" t="s">
        <v>101</v>
      </c>
      <c r="P17" s="54" t="s">
        <v>47</v>
      </c>
      <c r="Q17" s="79">
        <v>46166</v>
      </c>
      <c r="R17" s="63" t="s">
        <v>70</v>
      </c>
      <c r="S17" s="64" t="s">
        <v>102</v>
      </c>
    </row>
    <row r="18" spans="3:19" ht="51.65" customHeight="1" x14ac:dyDescent="0.35"/>
  </sheetData>
  <mergeCells count="13">
    <mergeCell ref="N4:N5"/>
    <mergeCell ref="M4:M5"/>
    <mergeCell ref="L4:L5"/>
    <mergeCell ref="C4:D5"/>
    <mergeCell ref="E4:H4"/>
    <mergeCell ref="I4:I5"/>
    <mergeCell ref="J4:J5"/>
    <mergeCell ref="K4:K5"/>
    <mergeCell ref="O4:O5"/>
    <mergeCell ref="P4:P5"/>
    <mergeCell ref="Q4:Q5"/>
    <mergeCell ref="R4:R5"/>
    <mergeCell ref="S4:S5"/>
  </mergeCells>
  <conditionalFormatting sqref="L6:L17">
    <cfRule type="cellIs" dxfId="11" priority="9" operator="equal">
      <formula>"Bajo"</formula>
    </cfRule>
    <cfRule type="cellIs" dxfId="10" priority="10" operator="equal">
      <formula>"Moderado"</formula>
    </cfRule>
    <cfRule type="cellIs" dxfId="9" priority="11" operator="equal">
      <formula>"alto"</formula>
    </cfRule>
  </conditionalFormatting>
  <dataValidations count="1">
    <dataValidation type="list" allowBlank="1" showInputMessage="1" showErrorMessage="1" sqref="M6:M17" xr:uid="{00000000-0002-0000-0000-000000000000}">
      <formula1>OportunidadesFortalezas</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S11"/>
  <sheetViews>
    <sheetView topLeftCell="B1" zoomScale="89" zoomScaleNormal="70" workbookViewId="0">
      <selection activeCell="N9" sqref="N9"/>
    </sheetView>
  </sheetViews>
  <sheetFormatPr baseColWidth="10" defaultRowHeight="14.5" x14ac:dyDescent="0.35"/>
  <cols>
    <col min="1" max="1" width="5.6328125" customWidth="1"/>
    <col min="2" max="2" width="6.453125" customWidth="1"/>
    <col min="3" max="3" width="40" customWidth="1"/>
    <col min="9" max="9" width="16" customWidth="1"/>
    <col min="10" max="10" width="15.36328125" customWidth="1"/>
    <col min="12" max="12" width="13.08984375" bestFit="1" customWidth="1"/>
    <col min="13" max="13" width="38.6328125" customWidth="1"/>
    <col min="14" max="14" width="37.453125" style="23" customWidth="1"/>
    <col min="15" max="15" width="26.36328125" style="23" customWidth="1"/>
    <col min="16" max="16" width="26.453125" style="23" customWidth="1"/>
    <col min="17" max="17" width="30.453125" style="23" customWidth="1"/>
    <col min="18" max="18" width="53" style="23" customWidth="1"/>
    <col min="19" max="19" width="22.81640625" customWidth="1"/>
  </cols>
  <sheetData>
    <row r="2" spans="2:19" ht="15" thickBot="1" x14ac:dyDescent="0.4"/>
    <row r="3" spans="2:19" ht="15" thickBot="1" x14ac:dyDescent="0.4">
      <c r="C3" s="14" t="s">
        <v>10</v>
      </c>
      <c r="D3" s="27">
        <v>0.2</v>
      </c>
      <c r="E3" s="27">
        <v>0.3</v>
      </c>
      <c r="F3" s="27">
        <v>0.4</v>
      </c>
      <c r="G3" s="27">
        <v>0.1</v>
      </c>
      <c r="H3" s="6"/>
      <c r="J3" s="14" t="s">
        <v>14</v>
      </c>
    </row>
    <row r="4" spans="2:19" ht="15" thickBot="1" x14ac:dyDescent="0.4">
      <c r="B4" s="97" t="s">
        <v>0</v>
      </c>
      <c r="C4" s="97"/>
      <c r="D4" s="97" t="s">
        <v>1</v>
      </c>
      <c r="E4" s="97"/>
      <c r="F4" s="97"/>
      <c r="G4" s="97"/>
      <c r="H4" s="92" t="s">
        <v>2</v>
      </c>
      <c r="I4" s="92" t="s">
        <v>12</v>
      </c>
      <c r="J4" s="92" t="s">
        <v>13</v>
      </c>
      <c r="K4" s="92" t="s">
        <v>38</v>
      </c>
      <c r="L4" s="92" t="s">
        <v>28</v>
      </c>
      <c r="M4" s="92" t="s">
        <v>39</v>
      </c>
      <c r="N4" s="95" t="s">
        <v>44</v>
      </c>
      <c r="O4" s="90" t="s">
        <v>42</v>
      </c>
      <c r="P4" s="90" t="s">
        <v>43</v>
      </c>
      <c r="Q4" s="92" t="s">
        <v>40</v>
      </c>
      <c r="R4" s="92" t="s">
        <v>41</v>
      </c>
    </row>
    <row r="5" spans="2:19" ht="28.5" customHeight="1" thickBot="1" x14ac:dyDescent="0.4">
      <c r="B5" s="97"/>
      <c r="C5" s="97"/>
      <c r="D5" s="15" t="s">
        <v>6</v>
      </c>
      <c r="E5" s="15" t="s">
        <v>7</v>
      </c>
      <c r="F5" s="15" t="s">
        <v>8</v>
      </c>
      <c r="G5" s="15" t="s">
        <v>9</v>
      </c>
      <c r="H5" s="93"/>
      <c r="I5" s="94"/>
      <c r="J5" s="94"/>
      <c r="K5" s="94"/>
      <c r="L5" s="94"/>
      <c r="M5" s="94"/>
      <c r="N5" s="96"/>
      <c r="O5" s="91"/>
      <c r="P5" s="91"/>
      <c r="Q5" s="93"/>
      <c r="R5" s="93"/>
    </row>
    <row r="6" spans="2:19" ht="68.400000000000006" customHeight="1" thickBot="1" x14ac:dyDescent="0.4">
      <c r="B6" s="16" t="s">
        <v>3</v>
      </c>
      <c r="C6" s="30" t="s">
        <v>49</v>
      </c>
      <c r="D6" s="10">
        <v>4</v>
      </c>
      <c r="E6" s="10">
        <v>4</v>
      </c>
      <c r="F6" s="10">
        <v>4</v>
      </c>
      <c r="G6" s="10">
        <v>4</v>
      </c>
      <c r="H6" s="10">
        <f t="shared" ref="H6:H8" si="0">(D6*$D$3)+(E6*$E$3)+(F6*$F$3)+(G6*$G$3)</f>
        <v>4</v>
      </c>
      <c r="I6" s="10">
        <v>0.5</v>
      </c>
      <c r="J6" s="12">
        <f>+I6*H6</f>
        <v>2</v>
      </c>
      <c r="K6" s="12" t="str">
        <f t="shared" ref="K6:K8" si="1">IF(J6&lt;=1,"Bajo",IF(AND(J6&gt;1,J6&lt;=2.1),"Moderado","Alto"))</f>
        <v>Moderado</v>
      </c>
      <c r="L6" s="12" t="s">
        <v>29</v>
      </c>
      <c r="M6" s="38" t="s">
        <v>79</v>
      </c>
      <c r="N6" s="38" t="s">
        <v>127</v>
      </c>
      <c r="O6" s="38" t="s">
        <v>84</v>
      </c>
      <c r="P6" s="38" t="s">
        <v>123</v>
      </c>
      <c r="Q6" s="38" t="s">
        <v>85</v>
      </c>
      <c r="R6" s="38" t="s">
        <v>82</v>
      </c>
    </row>
    <row r="7" spans="2:19" ht="86.4" customHeight="1" thickBot="1" x14ac:dyDescent="0.4">
      <c r="B7" s="16" t="s">
        <v>4</v>
      </c>
      <c r="C7" s="30" t="s">
        <v>53</v>
      </c>
      <c r="D7" s="10">
        <v>2</v>
      </c>
      <c r="E7" s="10">
        <v>2</v>
      </c>
      <c r="F7" s="10">
        <v>3</v>
      </c>
      <c r="G7" s="10">
        <v>3</v>
      </c>
      <c r="H7" s="10">
        <f t="shared" si="0"/>
        <v>2.5</v>
      </c>
      <c r="I7" s="10">
        <v>0.4</v>
      </c>
      <c r="J7" s="17">
        <f t="shared" ref="J7:J8" si="2">+I7*H7</f>
        <v>1</v>
      </c>
      <c r="K7" s="12" t="str">
        <f t="shared" si="1"/>
        <v>Bajo</v>
      </c>
      <c r="L7" s="12" t="s">
        <v>29</v>
      </c>
      <c r="M7" s="38" t="s">
        <v>80</v>
      </c>
      <c r="N7" s="38" t="s">
        <v>128</v>
      </c>
      <c r="O7" s="38" t="s">
        <v>84</v>
      </c>
      <c r="P7" s="81">
        <v>46152</v>
      </c>
      <c r="Q7" s="38" t="s">
        <v>86</v>
      </c>
      <c r="R7" s="38" t="s">
        <v>88</v>
      </c>
    </row>
    <row r="8" spans="2:19" ht="80.25" customHeight="1" thickBot="1" x14ac:dyDescent="0.4">
      <c r="B8" s="16" t="s">
        <v>5</v>
      </c>
      <c r="C8" s="30" t="s">
        <v>54</v>
      </c>
      <c r="D8" s="12">
        <v>4</v>
      </c>
      <c r="E8" s="12">
        <v>2</v>
      </c>
      <c r="F8" s="12">
        <v>4</v>
      </c>
      <c r="G8" s="12">
        <v>5</v>
      </c>
      <c r="H8" s="10">
        <f t="shared" si="0"/>
        <v>3.5</v>
      </c>
      <c r="I8" s="12">
        <v>0.4</v>
      </c>
      <c r="J8" s="12">
        <f t="shared" si="2"/>
        <v>1.4000000000000001</v>
      </c>
      <c r="K8" s="12" t="str">
        <f t="shared" si="1"/>
        <v>Moderado</v>
      </c>
      <c r="L8" s="12" t="s">
        <v>29</v>
      </c>
      <c r="M8" s="38" t="s">
        <v>81</v>
      </c>
      <c r="N8" s="38" t="s">
        <v>129</v>
      </c>
      <c r="O8" s="38" t="s">
        <v>84</v>
      </c>
      <c r="P8" s="81">
        <v>46124</v>
      </c>
      <c r="Q8" s="38" t="s">
        <v>87</v>
      </c>
      <c r="R8" s="38" t="s">
        <v>83</v>
      </c>
    </row>
    <row r="9" spans="2:19" ht="70.75" customHeight="1" x14ac:dyDescent="0.35">
      <c r="B9" s="47"/>
      <c r="C9" s="48"/>
      <c r="D9" s="49"/>
      <c r="E9" s="49"/>
      <c r="F9" s="49"/>
      <c r="G9" s="49"/>
      <c r="H9" s="50"/>
      <c r="I9" s="49"/>
      <c r="J9" s="49"/>
      <c r="K9" s="49"/>
      <c r="L9" s="49"/>
      <c r="M9" s="51"/>
      <c r="N9" s="51"/>
      <c r="O9" s="52"/>
      <c r="P9" s="52"/>
      <c r="Q9" s="51"/>
      <c r="R9" s="51"/>
      <c r="S9" s="25"/>
    </row>
    <row r="10" spans="2:19" ht="71.25" customHeight="1" x14ac:dyDescent="0.35">
      <c r="B10" s="47"/>
      <c r="C10" s="53"/>
      <c r="D10" s="49"/>
      <c r="E10" s="49"/>
      <c r="F10" s="49"/>
      <c r="G10" s="49"/>
      <c r="H10" s="50"/>
      <c r="I10" s="49"/>
      <c r="J10" s="49"/>
      <c r="K10" s="49"/>
      <c r="L10" s="49"/>
      <c r="M10" s="51"/>
      <c r="N10" s="51"/>
      <c r="O10" s="51"/>
      <c r="P10" s="51"/>
      <c r="Q10" s="51"/>
      <c r="R10" s="51"/>
    </row>
    <row r="11" spans="2:19" x14ac:dyDescent="0.35">
      <c r="M11" s="23"/>
    </row>
  </sheetData>
  <mergeCells count="13">
    <mergeCell ref="B4:C5"/>
    <mergeCell ref="D4:G4"/>
    <mergeCell ref="H4:H5"/>
    <mergeCell ref="I4:I5"/>
    <mergeCell ref="J4:J5"/>
    <mergeCell ref="P4:P5"/>
    <mergeCell ref="Q4:Q5"/>
    <mergeCell ref="R4:R5"/>
    <mergeCell ref="K4:K5"/>
    <mergeCell ref="L4:L5"/>
    <mergeCell ref="M4:M5"/>
    <mergeCell ref="N4:N5"/>
    <mergeCell ref="O4:O5"/>
  </mergeCells>
  <conditionalFormatting sqref="K6:K10">
    <cfRule type="cellIs" dxfId="8" priority="4" operator="equal">
      <formula>"Bajo"</formula>
    </cfRule>
    <cfRule type="cellIs" dxfId="7" priority="5" operator="equal">
      <formula>"Moderado"</formula>
    </cfRule>
    <cfRule type="cellIs" dxfId="6" priority="6" operator="equal">
      <formula>"alto"</formula>
    </cfRule>
  </conditionalFormatting>
  <dataValidations count="1">
    <dataValidation type="list" allowBlank="1" showInputMessage="1" showErrorMessage="1" sqref="L6:L10" xr:uid="{00000000-0002-0000-0200-000000000000}">
      <formula1>AmenazasDebilidades</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9"/>
  <sheetViews>
    <sheetView topLeftCell="A6" zoomScale="93" zoomScaleNormal="70" workbookViewId="0">
      <selection activeCell="B8" sqref="B8:B9"/>
    </sheetView>
  </sheetViews>
  <sheetFormatPr baseColWidth="10" defaultRowHeight="14.5" x14ac:dyDescent="0.35"/>
  <cols>
    <col min="1" max="2" width="6.453125" customWidth="1"/>
    <col min="3" max="3" width="49.81640625" customWidth="1"/>
    <col min="9" max="9" width="15.453125" customWidth="1"/>
    <col min="10" max="10" width="17" customWidth="1"/>
    <col min="11" max="11" width="16.81640625" bestFit="1" customWidth="1"/>
    <col min="12" max="12" width="13.08984375" bestFit="1" customWidth="1"/>
    <col min="13" max="13" width="23.08984375" customWidth="1"/>
    <col min="14" max="14" width="18.81640625" customWidth="1"/>
    <col min="15" max="15" width="21.08984375" bestFit="1" customWidth="1"/>
    <col min="16" max="16" width="20.453125" bestFit="1" customWidth="1"/>
    <col min="17" max="17" width="44.54296875" customWidth="1"/>
    <col min="18" max="18" width="41.453125" customWidth="1"/>
    <col min="19" max="19" width="22.81640625" customWidth="1"/>
  </cols>
  <sheetData>
    <row r="2" spans="2:19" ht="15" thickBot="1" x14ac:dyDescent="0.4"/>
    <row r="3" spans="2:19" ht="15.75" customHeight="1" thickBot="1" x14ac:dyDescent="0.4">
      <c r="C3" s="13" t="s">
        <v>10</v>
      </c>
      <c r="D3" s="26">
        <v>0.2</v>
      </c>
      <c r="E3" s="26">
        <v>0.3</v>
      </c>
      <c r="F3" s="26">
        <v>0.4</v>
      </c>
      <c r="G3" s="26">
        <v>0.1</v>
      </c>
      <c r="H3" s="6"/>
      <c r="J3" s="14" t="s">
        <v>14</v>
      </c>
    </row>
    <row r="4" spans="2:19" ht="15" thickBot="1" x14ac:dyDescent="0.4">
      <c r="B4" s="100" t="s">
        <v>0</v>
      </c>
      <c r="C4" s="101"/>
      <c r="D4" s="104" t="s">
        <v>1</v>
      </c>
      <c r="E4" s="105"/>
      <c r="F4" s="105"/>
      <c r="G4" s="105"/>
      <c r="H4" s="106" t="s">
        <v>2</v>
      </c>
      <c r="I4" s="106" t="s">
        <v>12</v>
      </c>
      <c r="J4" s="106" t="s">
        <v>13</v>
      </c>
      <c r="K4" s="95" t="s">
        <v>38</v>
      </c>
      <c r="L4" s="95" t="s">
        <v>28</v>
      </c>
      <c r="M4" s="95" t="s">
        <v>39</v>
      </c>
      <c r="N4" s="95" t="s">
        <v>44</v>
      </c>
      <c r="O4" s="98" t="s">
        <v>42</v>
      </c>
      <c r="P4" s="98" t="s">
        <v>43</v>
      </c>
      <c r="Q4" s="95" t="s">
        <v>40</v>
      </c>
      <c r="R4" s="95" t="s">
        <v>41</v>
      </c>
    </row>
    <row r="5" spans="2:19" ht="28.5" customHeight="1" thickBot="1" x14ac:dyDescent="0.4">
      <c r="B5" s="102"/>
      <c r="C5" s="111"/>
      <c r="D5" s="8" t="s">
        <v>6</v>
      </c>
      <c r="E5" s="8" t="s">
        <v>7</v>
      </c>
      <c r="F5" s="8" t="s">
        <v>8</v>
      </c>
      <c r="G5" s="9" t="s">
        <v>9</v>
      </c>
      <c r="H5" s="112"/>
      <c r="I5" s="113"/>
      <c r="J5" s="113"/>
      <c r="K5" s="110"/>
      <c r="L5" s="110"/>
      <c r="M5" s="110"/>
      <c r="N5" s="96"/>
      <c r="O5" s="109"/>
      <c r="P5" s="109"/>
      <c r="Q5" s="110"/>
      <c r="R5" s="110"/>
    </row>
    <row r="6" spans="2:19" ht="81" customHeight="1" thickBot="1" x14ac:dyDescent="0.4">
      <c r="B6" s="28" t="s">
        <v>3</v>
      </c>
      <c r="C6" s="31" t="s">
        <v>57</v>
      </c>
      <c r="D6" s="29">
        <v>3</v>
      </c>
      <c r="E6" s="10">
        <v>2</v>
      </c>
      <c r="F6" s="10">
        <v>3</v>
      </c>
      <c r="G6" s="10">
        <v>3</v>
      </c>
      <c r="H6" s="10">
        <f>(D6*$D$3)+(E6*$E$3)+(F6*$F$3)+(G6*$G$3)</f>
        <v>2.7</v>
      </c>
      <c r="I6" s="10">
        <v>0.5</v>
      </c>
      <c r="J6" s="12">
        <f>+I6*H6</f>
        <v>1.35</v>
      </c>
      <c r="K6" s="12" t="str">
        <f>IF(J6&lt;=1,"Bajo",IF(AND(J6&gt;1,J6&lt;=2.1),"Moderado","Alto"))</f>
        <v>Moderado</v>
      </c>
      <c r="L6" s="12" t="s">
        <v>36</v>
      </c>
      <c r="M6" s="5" t="s">
        <v>71</v>
      </c>
      <c r="N6" s="32" t="s">
        <v>103</v>
      </c>
      <c r="O6" s="38" t="s">
        <v>84</v>
      </c>
      <c r="P6" s="81">
        <v>46132</v>
      </c>
      <c r="Q6" s="39" t="s">
        <v>75</v>
      </c>
      <c r="R6" s="35" t="s">
        <v>104</v>
      </c>
      <c r="S6" s="25"/>
    </row>
    <row r="7" spans="2:19" ht="60.5" thickBot="1" x14ac:dyDescent="0.4">
      <c r="B7" s="66" t="s">
        <v>4</v>
      </c>
      <c r="C7" s="67" t="s">
        <v>126</v>
      </c>
      <c r="D7" s="68">
        <v>3</v>
      </c>
      <c r="E7" s="45">
        <v>2</v>
      </c>
      <c r="F7" s="45">
        <v>4</v>
      </c>
      <c r="G7" s="45">
        <v>3</v>
      </c>
      <c r="H7" s="10">
        <f>(D7*$D$3)+(E7*$E$3)+(F7*$F$3)+(G7*$G$3)</f>
        <v>3.1000000000000005</v>
      </c>
      <c r="I7" s="12">
        <v>0.5</v>
      </c>
      <c r="J7" s="12">
        <f>+I7*H7</f>
        <v>1.5500000000000003</v>
      </c>
      <c r="K7" s="12" t="str">
        <f t="shared" ref="K7:K9" si="0">IF(J7&lt;=1,"Bajo",IF(AND(J7&gt;1,J7&lt;=2.1),"Moderado","Alto"))</f>
        <v>Moderado</v>
      </c>
      <c r="L7" s="12" t="s">
        <v>36</v>
      </c>
      <c r="M7" s="5" t="s">
        <v>72</v>
      </c>
      <c r="N7" s="32" t="s">
        <v>105</v>
      </c>
      <c r="O7" s="38" t="s">
        <v>47</v>
      </c>
      <c r="P7" s="81">
        <v>46124</v>
      </c>
      <c r="Q7" s="69" t="s">
        <v>76</v>
      </c>
      <c r="R7" s="36" t="s">
        <v>106</v>
      </c>
    </row>
    <row r="8" spans="2:19" ht="60.5" thickBot="1" x14ac:dyDescent="0.4">
      <c r="B8" s="124" t="s">
        <v>5</v>
      </c>
      <c r="C8" s="82" t="s">
        <v>58</v>
      </c>
      <c r="D8" s="10">
        <v>5</v>
      </c>
      <c r="E8" s="68">
        <v>5</v>
      </c>
      <c r="F8" s="45">
        <v>5</v>
      </c>
      <c r="G8" s="45">
        <v>4</v>
      </c>
      <c r="H8" s="10">
        <f t="shared" ref="H8:H9" si="1">(D8*$D$3)+(E8*$E$3)+(F8*$F$3)+(G8*$G$3)</f>
        <v>4.9000000000000004</v>
      </c>
      <c r="I8" s="12">
        <v>0.4</v>
      </c>
      <c r="J8" s="12">
        <f t="shared" ref="J8:J9" si="2">+I8*H8</f>
        <v>1.9600000000000002</v>
      </c>
      <c r="K8" s="12" t="str">
        <f t="shared" si="0"/>
        <v>Moderado</v>
      </c>
      <c r="L8" s="12" t="s">
        <v>36</v>
      </c>
      <c r="M8" s="5" t="s">
        <v>73</v>
      </c>
      <c r="N8" s="32" t="s">
        <v>108</v>
      </c>
      <c r="O8" s="38" t="s">
        <v>47</v>
      </c>
      <c r="P8" s="38" t="s">
        <v>124</v>
      </c>
      <c r="Q8" s="39" t="s">
        <v>77</v>
      </c>
      <c r="R8" s="39" t="s">
        <v>107</v>
      </c>
    </row>
    <row r="9" spans="2:19" ht="60.5" thickBot="1" x14ac:dyDescent="0.4">
      <c r="B9" s="124" t="s">
        <v>125</v>
      </c>
      <c r="C9" s="82" t="s">
        <v>56</v>
      </c>
      <c r="D9" s="10">
        <v>2</v>
      </c>
      <c r="E9" s="83">
        <v>2</v>
      </c>
      <c r="F9" s="84">
        <v>5</v>
      </c>
      <c r="G9" s="84">
        <v>4</v>
      </c>
      <c r="H9" s="10">
        <f t="shared" si="1"/>
        <v>3.4</v>
      </c>
      <c r="I9" s="12">
        <v>0.4</v>
      </c>
      <c r="J9" s="12">
        <f t="shared" si="2"/>
        <v>1.36</v>
      </c>
      <c r="K9" s="12" t="str">
        <f t="shared" si="0"/>
        <v>Moderado</v>
      </c>
      <c r="L9" s="12" t="s">
        <v>36</v>
      </c>
      <c r="M9" s="5" t="s">
        <v>74</v>
      </c>
      <c r="N9" s="32" t="s">
        <v>110</v>
      </c>
      <c r="O9" s="38" t="s">
        <v>47</v>
      </c>
      <c r="P9" s="38" t="s">
        <v>124</v>
      </c>
      <c r="Q9" s="39" t="s">
        <v>78</v>
      </c>
      <c r="R9" s="34" t="s">
        <v>109</v>
      </c>
    </row>
  </sheetData>
  <mergeCells count="13">
    <mergeCell ref="B4:C5"/>
    <mergeCell ref="D4:G4"/>
    <mergeCell ref="H4:H5"/>
    <mergeCell ref="I4:I5"/>
    <mergeCell ref="J4:J5"/>
    <mergeCell ref="P4:P5"/>
    <mergeCell ref="Q4:Q5"/>
    <mergeCell ref="R4:R5"/>
    <mergeCell ref="K4:K5"/>
    <mergeCell ref="L4:L5"/>
    <mergeCell ref="M4:M5"/>
    <mergeCell ref="N4:N5"/>
    <mergeCell ref="O4:O5"/>
  </mergeCells>
  <conditionalFormatting sqref="K6:K9">
    <cfRule type="cellIs" dxfId="5" priority="4" operator="equal">
      <formula>"Bajo"</formula>
    </cfRule>
    <cfRule type="cellIs" dxfId="4" priority="5" operator="equal">
      <formula>"Moderado"</formula>
    </cfRule>
    <cfRule type="cellIs" dxfId="3" priority="6" operator="equal">
      <formula>"alto"</formula>
    </cfRule>
  </conditionalFormatting>
  <dataValidations count="1">
    <dataValidation type="list" allowBlank="1" showInputMessage="1" showErrorMessage="1" sqref="L6:L9" xr:uid="{00000000-0002-0000-0100-000000000000}">
      <formula1>OportunidadesFortalezas</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R17"/>
  <sheetViews>
    <sheetView topLeftCell="A7" zoomScale="78" zoomScaleNormal="90" workbookViewId="0">
      <selection activeCell="T6" sqref="T6"/>
    </sheetView>
  </sheetViews>
  <sheetFormatPr baseColWidth="10" defaultRowHeight="14.5" x14ac:dyDescent="0.35"/>
  <cols>
    <col min="1" max="1" width="7" customWidth="1"/>
    <col min="2" max="2" width="6.453125" customWidth="1"/>
    <col min="3" max="3" width="40" customWidth="1"/>
    <col min="9" max="9" width="16.08984375" customWidth="1"/>
    <col min="10" max="10" width="14.453125" customWidth="1"/>
    <col min="11" max="11" width="16.81640625" bestFit="1" customWidth="1"/>
    <col min="12" max="12" width="13.08984375" bestFit="1" customWidth="1"/>
    <col min="13" max="13" width="59.1796875" customWidth="1"/>
    <col min="14" max="14" width="39.453125" customWidth="1"/>
    <col min="15" max="15" width="21.6328125" customWidth="1"/>
    <col min="16" max="16" width="20.54296875" customWidth="1"/>
    <col min="17" max="17" width="37.08984375" customWidth="1"/>
    <col min="18" max="18" width="62.08984375" customWidth="1"/>
  </cols>
  <sheetData>
    <row r="2" spans="2:18" ht="15" thickBot="1" x14ac:dyDescent="0.4"/>
    <row r="3" spans="2:18" ht="15" thickBot="1" x14ac:dyDescent="0.4">
      <c r="C3" s="13" t="s">
        <v>10</v>
      </c>
      <c r="D3" s="26">
        <v>0.2</v>
      </c>
      <c r="E3" s="26">
        <v>0.3</v>
      </c>
      <c r="F3" s="26">
        <v>0.4</v>
      </c>
      <c r="G3" s="26">
        <v>0.1</v>
      </c>
      <c r="H3" s="6"/>
      <c r="J3" s="14" t="s">
        <v>14</v>
      </c>
    </row>
    <row r="4" spans="2:18" ht="24" customHeight="1" thickBot="1" x14ac:dyDescent="0.4">
      <c r="B4" s="100" t="s">
        <v>0</v>
      </c>
      <c r="C4" s="101"/>
      <c r="D4" s="104" t="s">
        <v>1</v>
      </c>
      <c r="E4" s="105"/>
      <c r="F4" s="105"/>
      <c r="G4" s="105"/>
      <c r="H4" s="106" t="s">
        <v>2</v>
      </c>
      <c r="I4" s="106" t="s">
        <v>12</v>
      </c>
      <c r="J4" s="106" t="s">
        <v>13</v>
      </c>
      <c r="K4" s="95" t="s">
        <v>38</v>
      </c>
      <c r="L4" s="95" t="s">
        <v>28</v>
      </c>
      <c r="M4" s="95" t="s">
        <v>39</v>
      </c>
      <c r="N4" s="95" t="s">
        <v>44</v>
      </c>
      <c r="O4" s="98" t="s">
        <v>42</v>
      </c>
      <c r="P4" s="98" t="s">
        <v>43</v>
      </c>
      <c r="Q4" s="95" t="s">
        <v>40</v>
      </c>
      <c r="R4" s="95" t="s">
        <v>41</v>
      </c>
    </row>
    <row r="5" spans="2:18" ht="26.25" customHeight="1" thickBot="1" x14ac:dyDescent="0.4">
      <c r="B5" s="114"/>
      <c r="C5" s="111"/>
      <c r="D5" s="8" t="s">
        <v>6</v>
      </c>
      <c r="E5" s="8" t="s">
        <v>7</v>
      </c>
      <c r="F5" s="8" t="s">
        <v>8</v>
      </c>
      <c r="G5" s="9" t="s">
        <v>9</v>
      </c>
      <c r="H5" s="112"/>
      <c r="I5" s="108"/>
      <c r="J5" s="113"/>
      <c r="K5" s="110"/>
      <c r="L5" s="110"/>
      <c r="M5" s="110"/>
      <c r="N5" s="96"/>
      <c r="O5" s="109"/>
      <c r="P5" s="109"/>
      <c r="Q5" s="110"/>
      <c r="R5" s="110"/>
    </row>
    <row r="6" spans="2:18" ht="82.25" customHeight="1" thickBot="1" x14ac:dyDescent="0.4">
      <c r="B6" s="16" t="s">
        <v>3</v>
      </c>
      <c r="C6" s="43" t="s">
        <v>59</v>
      </c>
      <c r="D6" s="38">
        <v>4</v>
      </c>
      <c r="E6" s="38">
        <v>3</v>
      </c>
      <c r="F6" s="38">
        <v>4</v>
      </c>
      <c r="G6" s="38">
        <v>4</v>
      </c>
      <c r="H6" s="38">
        <f>(D6*$D$3)+(E6*$E$3)+(F6*$F$3)+(G6*$G$3)</f>
        <v>3.6999999999999997</v>
      </c>
      <c r="I6" s="40">
        <v>0.4</v>
      </c>
      <c r="J6" s="40">
        <f>I6*H6</f>
        <v>1.48</v>
      </c>
      <c r="K6" s="40" t="str">
        <f>IF(J6&lt;=1,"Bajo",IF(AND(J6&gt;1,J6&lt;=2.1),"Moderado","Alto"))</f>
        <v>Moderado</v>
      </c>
      <c r="L6" s="40" t="s">
        <v>30</v>
      </c>
      <c r="M6" s="38" t="s">
        <v>91</v>
      </c>
      <c r="N6" s="38" t="s">
        <v>111</v>
      </c>
      <c r="O6" s="38" t="s">
        <v>84</v>
      </c>
      <c r="P6" s="38"/>
      <c r="Q6" s="38" t="s">
        <v>121</v>
      </c>
      <c r="R6" s="38" t="s">
        <v>122</v>
      </c>
    </row>
    <row r="7" spans="2:18" ht="99" customHeight="1" thickBot="1" x14ac:dyDescent="0.4">
      <c r="B7" s="41" t="s">
        <v>4</v>
      </c>
      <c r="C7" s="44" t="s">
        <v>60</v>
      </c>
      <c r="D7" s="42">
        <v>3</v>
      </c>
      <c r="E7" s="38">
        <v>2</v>
      </c>
      <c r="F7" s="38">
        <v>3</v>
      </c>
      <c r="G7" s="38">
        <v>3</v>
      </c>
      <c r="H7" s="38">
        <f t="shared" ref="H7:H9" si="0">(D7*$D$3)+(E7*$E$3)+(F7*$F$3)+(G7*$G$3)</f>
        <v>2.7</v>
      </c>
      <c r="I7" s="40">
        <v>0.3</v>
      </c>
      <c r="J7" s="40">
        <f t="shared" ref="J7:J9" si="1">I7*H7</f>
        <v>0.81</v>
      </c>
      <c r="K7" s="40" t="str">
        <f t="shared" ref="K7:K9" si="2">IF(J7&lt;=1,"Bajo",IF(AND(J7&gt;1,J7&lt;=2.1),"Moderado","Alto"))</f>
        <v>Bajo</v>
      </c>
      <c r="L7" s="40" t="s">
        <v>30</v>
      </c>
      <c r="M7" s="38" t="s">
        <v>89</v>
      </c>
      <c r="N7" s="38" t="s">
        <v>119</v>
      </c>
      <c r="O7" s="38"/>
      <c r="P7" s="38"/>
      <c r="Q7" s="38" t="s">
        <v>120</v>
      </c>
      <c r="R7" s="38" t="s">
        <v>112</v>
      </c>
    </row>
    <row r="8" spans="2:18" ht="85.25" customHeight="1" thickBot="1" x14ac:dyDescent="0.4">
      <c r="B8" s="41" t="s">
        <v>5</v>
      </c>
      <c r="C8" s="44" t="s">
        <v>61</v>
      </c>
      <c r="D8" s="42">
        <v>3</v>
      </c>
      <c r="E8" s="38">
        <v>4</v>
      </c>
      <c r="F8" s="38">
        <v>4</v>
      </c>
      <c r="G8" s="38">
        <v>3</v>
      </c>
      <c r="H8" s="38">
        <f t="shared" si="0"/>
        <v>3.7</v>
      </c>
      <c r="I8" s="40">
        <v>0.3</v>
      </c>
      <c r="J8" s="40">
        <f t="shared" si="1"/>
        <v>1.1100000000000001</v>
      </c>
      <c r="K8" s="40" t="str">
        <f t="shared" si="2"/>
        <v>Moderado</v>
      </c>
      <c r="L8" s="40" t="s">
        <v>29</v>
      </c>
      <c r="M8" s="38" t="s">
        <v>90</v>
      </c>
      <c r="N8" s="38" t="s">
        <v>113</v>
      </c>
      <c r="O8" s="38" t="s">
        <v>84</v>
      </c>
      <c r="P8" s="38"/>
      <c r="Q8" s="38" t="s">
        <v>117</v>
      </c>
      <c r="R8" s="38" t="s">
        <v>118</v>
      </c>
    </row>
    <row r="9" spans="2:18" ht="68.400000000000006" customHeight="1" x14ac:dyDescent="0.35">
      <c r="B9" s="55" t="s">
        <v>11</v>
      </c>
      <c r="C9" s="56" t="s">
        <v>48</v>
      </c>
      <c r="D9" s="57">
        <v>3</v>
      </c>
      <c r="E9" s="58">
        <v>2</v>
      </c>
      <c r="F9" s="58">
        <v>3</v>
      </c>
      <c r="G9" s="58">
        <v>3</v>
      </c>
      <c r="H9" s="46">
        <f t="shared" si="0"/>
        <v>2.7</v>
      </c>
      <c r="I9" s="58">
        <v>0.3</v>
      </c>
      <c r="J9" s="58">
        <f t="shared" si="1"/>
        <v>0.81</v>
      </c>
      <c r="K9" s="58" t="str">
        <f t="shared" si="2"/>
        <v>Bajo</v>
      </c>
      <c r="L9" s="58" t="s">
        <v>29</v>
      </c>
      <c r="M9" s="46" t="s">
        <v>92</v>
      </c>
      <c r="N9" s="46" t="s">
        <v>114</v>
      </c>
      <c r="O9" s="46" t="s">
        <v>84</v>
      </c>
      <c r="P9" s="46"/>
      <c r="Q9" s="46" t="s">
        <v>115</v>
      </c>
      <c r="R9" s="46" t="s">
        <v>116</v>
      </c>
    </row>
    <row r="10" spans="2:18" ht="94.25" customHeight="1" x14ac:dyDescent="0.35">
      <c r="B10" s="47"/>
      <c r="C10" s="50"/>
      <c r="D10" s="49"/>
      <c r="E10" s="49"/>
      <c r="F10" s="49"/>
      <c r="G10" s="49"/>
      <c r="H10" s="50"/>
      <c r="I10" s="49"/>
      <c r="J10" s="49"/>
      <c r="K10" s="49"/>
      <c r="L10" s="49"/>
      <c r="M10" s="49"/>
      <c r="N10" s="49"/>
      <c r="O10" s="49"/>
      <c r="P10" s="49"/>
      <c r="Q10" s="49"/>
      <c r="R10" s="49"/>
    </row>
    <row r="11" spans="2:18" ht="105" customHeight="1" x14ac:dyDescent="0.35">
      <c r="B11" s="47"/>
      <c r="C11" s="59"/>
      <c r="D11" s="49"/>
      <c r="E11" s="49"/>
      <c r="F11" s="49"/>
      <c r="G11" s="49"/>
      <c r="H11" s="50"/>
      <c r="I11" s="49"/>
      <c r="J11" s="49"/>
      <c r="K11" s="49"/>
      <c r="L11" s="49"/>
      <c r="M11" s="60"/>
      <c r="N11" s="49"/>
      <c r="O11" s="49"/>
      <c r="P11" s="49"/>
      <c r="Q11" s="49"/>
      <c r="R11" s="49"/>
    </row>
    <row r="12" spans="2:18" x14ac:dyDescent="0.35">
      <c r="B12" s="47"/>
      <c r="C12" s="59"/>
      <c r="D12" s="49"/>
      <c r="E12" s="49"/>
      <c r="F12" s="49"/>
      <c r="G12" s="49"/>
      <c r="H12" s="50"/>
      <c r="I12" s="49"/>
      <c r="J12" s="49"/>
      <c r="K12" s="49"/>
      <c r="L12" s="49"/>
      <c r="M12" s="49"/>
      <c r="N12" s="49"/>
      <c r="O12" s="49"/>
      <c r="P12" s="49"/>
      <c r="Q12" s="49"/>
      <c r="R12" s="49"/>
    </row>
    <row r="15" spans="2:18" x14ac:dyDescent="0.35">
      <c r="C15" s="24"/>
    </row>
    <row r="16" spans="2:18" x14ac:dyDescent="0.35">
      <c r="C16" s="24"/>
    </row>
    <row r="17" spans="3:3" x14ac:dyDescent="0.35">
      <c r="C17" s="24"/>
    </row>
  </sheetData>
  <mergeCells count="13">
    <mergeCell ref="B4:C5"/>
    <mergeCell ref="D4:G4"/>
    <mergeCell ref="H4:H5"/>
    <mergeCell ref="I4:I5"/>
    <mergeCell ref="J4:J5"/>
    <mergeCell ref="P4:P5"/>
    <mergeCell ref="Q4:Q5"/>
    <mergeCell ref="R4:R5"/>
    <mergeCell ref="K4:K5"/>
    <mergeCell ref="L4:L5"/>
    <mergeCell ref="M4:M5"/>
    <mergeCell ref="N4:N5"/>
    <mergeCell ref="O4:O5"/>
  </mergeCells>
  <conditionalFormatting sqref="K6:K12">
    <cfRule type="cellIs" dxfId="2" priority="4" operator="equal">
      <formula>"Bajo"</formula>
    </cfRule>
    <cfRule type="cellIs" dxfId="1" priority="5" operator="equal">
      <formula>"Moderado"</formula>
    </cfRule>
    <cfRule type="cellIs" dxfId="0" priority="6" operator="equal">
      <formula>"alto"</formula>
    </cfRule>
  </conditionalFormatting>
  <dataValidations count="1">
    <dataValidation type="list" allowBlank="1" showInputMessage="1" showErrorMessage="1" sqref="L6:L12" xr:uid="{00000000-0002-0000-0300-000000000000}">
      <formula1>AmenazasDebilidades</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H18"/>
  <sheetViews>
    <sheetView tabSelected="1" workbookViewId="0">
      <selection activeCell="E6" sqref="E6"/>
    </sheetView>
  </sheetViews>
  <sheetFormatPr baseColWidth="10" defaultRowHeight="14.5" x14ac:dyDescent="0.35"/>
  <cols>
    <col min="1" max="1" width="4.81640625" customWidth="1"/>
    <col min="2" max="2" width="4.6328125" customWidth="1"/>
    <col min="3" max="3" width="11.453125" style="2"/>
  </cols>
  <sheetData>
    <row r="3" spans="1:8" x14ac:dyDescent="0.35">
      <c r="C3" s="116" t="s">
        <v>15</v>
      </c>
      <c r="D3" s="116"/>
      <c r="E3" s="116"/>
      <c r="F3" s="116"/>
      <c r="G3" s="116"/>
      <c r="H3" s="116"/>
    </row>
    <row r="4" spans="1:8" ht="15" thickBot="1" x14ac:dyDescent="0.4"/>
    <row r="5" spans="1:8" ht="15" thickBot="1" x14ac:dyDescent="0.4">
      <c r="A5" s="117" t="s">
        <v>16</v>
      </c>
      <c r="B5">
        <v>0.9</v>
      </c>
      <c r="C5" s="2" t="s">
        <v>17</v>
      </c>
      <c r="D5" s="18">
        <f>$B$5*D11</f>
        <v>0.9</v>
      </c>
      <c r="E5" s="19">
        <f>$B$5*E11</f>
        <v>1.8</v>
      </c>
      <c r="F5" s="20">
        <f t="shared" ref="F5:H5" si="0">$B$5*F11</f>
        <v>2.7</v>
      </c>
      <c r="G5" s="20">
        <f t="shared" si="0"/>
        <v>3.6</v>
      </c>
      <c r="H5" s="20">
        <f t="shared" si="0"/>
        <v>4.5</v>
      </c>
    </row>
    <row r="6" spans="1:8" ht="15" thickBot="1" x14ac:dyDescent="0.4">
      <c r="A6" s="118"/>
      <c r="B6">
        <v>0.7</v>
      </c>
      <c r="C6" s="2" t="s">
        <v>18</v>
      </c>
      <c r="D6" s="18">
        <f>$B$6*D11</f>
        <v>0.7</v>
      </c>
      <c r="E6" s="19">
        <f t="shared" ref="E6:H6" si="1">$B$6*E11</f>
        <v>1.4</v>
      </c>
      <c r="F6" s="19">
        <f t="shared" si="1"/>
        <v>2.0999999999999996</v>
      </c>
      <c r="G6" s="20">
        <f t="shared" si="1"/>
        <v>2.8</v>
      </c>
      <c r="H6" s="20">
        <f t="shared" si="1"/>
        <v>3.5</v>
      </c>
    </row>
    <row r="7" spans="1:8" ht="15" thickBot="1" x14ac:dyDescent="0.4">
      <c r="A7" s="118"/>
      <c r="B7">
        <v>0.5</v>
      </c>
      <c r="C7" s="2" t="s">
        <v>19</v>
      </c>
      <c r="D7" s="18">
        <f>$B$7*D11</f>
        <v>0.5</v>
      </c>
      <c r="E7" s="18">
        <f t="shared" ref="E7:H7" si="2">$B$7*E11</f>
        <v>1</v>
      </c>
      <c r="F7" s="19">
        <f t="shared" si="2"/>
        <v>1.5</v>
      </c>
      <c r="G7" s="19">
        <f t="shared" si="2"/>
        <v>2</v>
      </c>
      <c r="H7" s="20">
        <f t="shared" si="2"/>
        <v>2.5</v>
      </c>
    </row>
    <row r="8" spans="1:8" ht="15" thickBot="1" x14ac:dyDescent="0.4">
      <c r="A8" s="118"/>
      <c r="B8">
        <v>0.3</v>
      </c>
      <c r="C8" s="2" t="s">
        <v>20</v>
      </c>
      <c r="D8" s="18">
        <f>$B$8*D11</f>
        <v>0.3</v>
      </c>
      <c r="E8" s="18">
        <f t="shared" ref="E8:H8" si="3">$B$8*E11</f>
        <v>0.6</v>
      </c>
      <c r="F8" s="18">
        <f t="shared" si="3"/>
        <v>0.89999999999999991</v>
      </c>
      <c r="G8" s="19">
        <f t="shared" si="3"/>
        <v>1.2</v>
      </c>
      <c r="H8" s="19">
        <f t="shared" si="3"/>
        <v>1.5</v>
      </c>
    </row>
    <row r="9" spans="1:8" ht="15" thickBot="1" x14ac:dyDescent="0.4">
      <c r="A9" s="118"/>
      <c r="B9">
        <v>0.1</v>
      </c>
      <c r="C9" s="2" t="s">
        <v>21</v>
      </c>
      <c r="D9" s="18">
        <f>$B$9*D11</f>
        <v>0.1</v>
      </c>
      <c r="E9" s="18">
        <f t="shared" ref="E9:H9" si="4">$B$9*E11</f>
        <v>0.2</v>
      </c>
      <c r="F9" s="18">
        <f t="shared" si="4"/>
        <v>0.30000000000000004</v>
      </c>
      <c r="G9" s="18">
        <f t="shared" si="4"/>
        <v>0.4</v>
      </c>
      <c r="H9" s="18">
        <f t="shared" si="4"/>
        <v>0.5</v>
      </c>
    </row>
    <row r="10" spans="1:8" x14ac:dyDescent="0.35">
      <c r="A10" s="118"/>
      <c r="D10" s="2" t="s">
        <v>22</v>
      </c>
      <c r="E10" s="2" t="s">
        <v>20</v>
      </c>
      <c r="F10" s="2" t="s">
        <v>19</v>
      </c>
      <c r="G10" s="2" t="s">
        <v>18</v>
      </c>
      <c r="H10" s="2" t="s">
        <v>17</v>
      </c>
    </row>
    <row r="11" spans="1:8" x14ac:dyDescent="0.35">
      <c r="D11" s="2">
        <v>1</v>
      </c>
      <c r="E11" s="2">
        <v>2</v>
      </c>
      <c r="F11" s="2">
        <v>3</v>
      </c>
      <c r="G11" s="2">
        <v>4</v>
      </c>
      <c r="H11" s="2">
        <v>5</v>
      </c>
    </row>
    <row r="12" spans="1:8" x14ac:dyDescent="0.35">
      <c r="A12" s="7"/>
      <c r="B12" s="7"/>
      <c r="C12" s="6"/>
      <c r="D12" s="116" t="s">
        <v>23</v>
      </c>
      <c r="E12" s="116"/>
      <c r="F12" s="116"/>
      <c r="G12" s="116"/>
      <c r="H12" s="116"/>
    </row>
    <row r="13" spans="1:8" ht="15" thickBot="1" x14ac:dyDescent="0.4"/>
    <row r="14" spans="1:8" ht="15" thickBot="1" x14ac:dyDescent="0.4">
      <c r="B14" s="18"/>
      <c r="C14" s="11" t="s">
        <v>20</v>
      </c>
      <c r="D14" s="115" t="s">
        <v>24</v>
      </c>
      <c r="E14" s="115"/>
      <c r="F14" s="115"/>
    </row>
    <row r="15" spans="1:8" ht="15" thickBot="1" x14ac:dyDescent="0.4">
      <c r="B15" s="21"/>
      <c r="C15" s="11" t="s">
        <v>25</v>
      </c>
      <c r="D15" s="115" t="s">
        <v>26</v>
      </c>
      <c r="E15" s="115"/>
      <c r="F15" s="115"/>
    </row>
    <row r="16" spans="1:8" ht="15" thickBot="1" x14ac:dyDescent="0.4">
      <c r="B16" s="22"/>
      <c r="C16" s="11" t="s">
        <v>18</v>
      </c>
      <c r="D16" s="115" t="s">
        <v>27</v>
      </c>
      <c r="E16" s="115"/>
      <c r="F16" s="115"/>
    </row>
    <row r="17" customFormat="1" x14ac:dyDescent="0.35"/>
    <row r="18" customFormat="1" x14ac:dyDescent="0.35"/>
  </sheetData>
  <mergeCells count="6">
    <mergeCell ref="D16:F16"/>
    <mergeCell ref="C3:H3"/>
    <mergeCell ref="A5:A10"/>
    <mergeCell ref="D12:H12"/>
    <mergeCell ref="D14:F14"/>
    <mergeCell ref="D15:F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Fortalezas</vt:lpstr>
      <vt:lpstr>Debilidades</vt:lpstr>
      <vt:lpstr>Oportunidades</vt:lpstr>
      <vt:lpstr>Amenazas</vt:lpstr>
      <vt:lpstr>Probabilidad Vs. Impacto</vt:lpstr>
      <vt:lpstr>AmenazasDebilidades</vt:lpstr>
      <vt:lpstr>OportunidadesFortalezas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94371475</dc:creator>
  <cp:lastModifiedBy>MARIA PAULA ZAMBRANO MARTINEZ</cp:lastModifiedBy>
  <dcterms:created xsi:type="dcterms:W3CDTF">2012-03-31T15:48:47Z</dcterms:created>
  <dcterms:modified xsi:type="dcterms:W3CDTF">2026-04-27T01:04:57Z</dcterms:modified>
</cp:coreProperties>
</file>