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A PAULA\Desktop\Entregables Intro a Ing de Software - Parcial 2\"/>
    </mc:Choice>
  </mc:AlternateContent>
  <xr:revisionPtr revIDLastSave="0" documentId="13_ncr:1_{9CE452F8-5E05-4EC9-B342-16A3A1F3FD45}" xr6:coauthVersionLast="47" xr6:coauthVersionMax="47" xr10:uidLastSave="{00000000-0000-0000-0000-000000000000}"/>
  <bookViews>
    <workbookView xWindow="-110" yWindow="-110" windowWidth="19420" windowHeight="10300" xr2:uid="{27E8A186-B17B-4BA8-B3E6-144211B0BE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54" i="1"/>
  <c r="H47" i="1" l="1"/>
  <c r="H52" i="1"/>
  <c r="H53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L25" i="1" s="1"/>
  <c r="H51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L5" i="1" l="1"/>
  <c r="L11" i="1"/>
  <c r="L22" i="1"/>
  <c r="L6" i="1"/>
  <c r="L24" i="1"/>
  <c r="L17" i="1"/>
  <c r="L21" i="1"/>
  <c r="L7" i="1"/>
  <c r="L13" i="1"/>
  <c r="L20" i="1"/>
  <c r="L12" i="1"/>
  <c r="L14" i="1"/>
  <c r="L23" i="1"/>
  <c r="L19" i="1"/>
  <c r="L10" i="1"/>
  <c r="L8" i="1"/>
  <c r="L16" i="1"/>
  <c r="L15" i="1"/>
  <c r="L18" i="1"/>
  <c r="L9" i="1"/>
</calcChain>
</file>

<file path=xl/sharedStrings.xml><?xml version="1.0" encoding="utf-8"?>
<sst xmlns="http://schemas.openxmlformats.org/spreadsheetml/2006/main" count="108" uniqueCount="33">
  <si>
    <t>Esfuerzo 1 a 5</t>
  </si>
  <si>
    <t>Impacto 1 a 10</t>
  </si>
  <si>
    <t>Urgencia 1 a 5</t>
  </si>
  <si>
    <t>Ponderación</t>
  </si>
  <si>
    <t>Prioridad</t>
  </si>
  <si>
    <t>US1</t>
  </si>
  <si>
    <t>US2</t>
  </si>
  <si>
    <t>US3</t>
  </si>
  <si>
    <t>US4</t>
  </si>
  <si>
    <t>US5</t>
  </si>
  <si>
    <t>US6</t>
  </si>
  <si>
    <t>US7</t>
  </si>
  <si>
    <t>US8</t>
  </si>
  <si>
    <t>US9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</si>
  <si>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</si>
  <si>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</si>
  <si>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</si>
  <si>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</si>
  <si>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</si>
  <si>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</si>
  <si>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</si>
  <si>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</si>
  <si>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</si>
  <si>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</si>
  <si>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</si>
  <si>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</si>
  <si>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Herrera</t>
  </si>
  <si>
    <t>López</t>
  </si>
  <si>
    <t>Martínez</t>
  </si>
  <si>
    <t>Viveros</t>
  </si>
  <si>
    <t>Zambrano</t>
  </si>
  <si>
    <t>Historia de Usuario</t>
  </si>
  <si>
    <t>Fórmula: Urgencia * Impacto / Esfuerzo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</si>
</sst>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 vertical="center"/>
    </xf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164" fontId="1" fillId="5" borderId="0" xfId="0" applyNumberFormat="1" applyFont="1" applyFill="1" applyAlignment="1">
      <alignment horizontal="center"/>
    </xf>
    <xf numFmtId="0" fontId="4" fillId="4" borderId="0" xfId="0" applyFont="1" applyFill="1" applyAlignment="1"/>
    <xf numFmtId="164" fontId="0" fillId="7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9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04E3-A50E-460B-8D09-B5F4A4C9818D}">
  <dimension ref="B2:M115"/>
  <sheetViews>
    <sheetView showGridLines="0" tabSelected="1" zoomScale="75" zoomScaleNormal="97" workbookViewId="0">
      <selection activeCell="B5" sqref="B5"/>
    </sheetView>
  </sheetViews>
  <sheetFormatPr baseColWidth="10" defaultRowHeight="14.5" x14ac:dyDescent="0.35"/>
  <cols>
    <col min="1" max="1" width="4" customWidth="1"/>
    <col min="2" max="2" width="13.36328125" customWidth="1"/>
    <col min="3" max="4" width="10.6328125" style="5" customWidth="1"/>
    <col min="5" max="5" width="10.7265625" style="5" customWidth="1"/>
    <col min="6" max="7" width="10.6328125" style="5" customWidth="1"/>
    <col min="8" max="8" width="12.54296875" style="1" customWidth="1"/>
    <col min="9" max="9" width="10.90625" style="6"/>
    <col min="11" max="11" width="17.81640625" customWidth="1"/>
    <col min="12" max="12" width="10.08984375" customWidth="1"/>
  </cols>
  <sheetData>
    <row r="2" spans="2:12" ht="18.5" x14ac:dyDescent="0.45">
      <c r="B2" s="18" t="s">
        <v>32</v>
      </c>
      <c r="C2" s="18"/>
      <c r="D2" s="18"/>
      <c r="E2" s="7"/>
    </row>
    <row r="4" spans="2:12" x14ac:dyDescent="0.35">
      <c r="B4" s="8" t="s">
        <v>2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</v>
      </c>
      <c r="I4" s="12"/>
      <c r="K4" s="14" t="s">
        <v>31</v>
      </c>
      <c r="L4" s="14" t="s">
        <v>4</v>
      </c>
    </row>
    <row r="5" spans="2:12" x14ac:dyDescent="0.35">
      <c r="B5" s="9" t="s">
        <v>5</v>
      </c>
      <c r="C5" s="6">
        <v>5</v>
      </c>
      <c r="D5" s="6">
        <v>4.7</v>
      </c>
      <c r="E5" s="6">
        <v>5</v>
      </c>
      <c r="F5" s="6">
        <v>4.8</v>
      </c>
      <c r="G5" s="6">
        <v>5</v>
      </c>
      <c r="H5" s="10">
        <f>(C5*0.2)+(D5*0.2)+(E5*0.2)+(F5*0.2)+(G5*0.2)</f>
        <v>4.9000000000000004</v>
      </c>
      <c r="I5" s="15"/>
      <c r="K5" s="13" t="s">
        <v>5</v>
      </c>
      <c r="L5" s="19">
        <f>(H5*H28)/H51</f>
        <v>13.991907514450865</v>
      </c>
    </row>
    <row r="6" spans="2:12" x14ac:dyDescent="0.35">
      <c r="B6" s="9" t="s">
        <v>6</v>
      </c>
      <c r="C6" s="3">
        <v>4.5999999999999996</v>
      </c>
      <c r="D6" s="3">
        <v>4.5</v>
      </c>
      <c r="E6" s="3">
        <v>4.8</v>
      </c>
      <c r="F6" s="3">
        <v>4.4000000000000004</v>
      </c>
      <c r="G6" s="3">
        <v>5</v>
      </c>
      <c r="H6" s="10">
        <f>(C6*0.2)+(D6*0.2)+(E6*0.2)+(F6*0.2)+(G6*0.2)</f>
        <v>4.66</v>
      </c>
      <c r="I6" s="15"/>
      <c r="K6" s="13" t="s">
        <v>6</v>
      </c>
      <c r="L6" s="19">
        <f t="shared" ref="L6:L25" si="0">(H6*H29)/H52</f>
        <v>10.317023255813956</v>
      </c>
    </row>
    <row r="7" spans="2:12" x14ac:dyDescent="0.35">
      <c r="B7" s="9" t="s">
        <v>7</v>
      </c>
      <c r="C7" s="3">
        <v>3.4</v>
      </c>
      <c r="D7" s="3">
        <v>3.1</v>
      </c>
      <c r="E7" s="3">
        <v>3.5</v>
      </c>
      <c r="F7" s="3">
        <v>3.3</v>
      </c>
      <c r="G7" s="3">
        <v>3.6</v>
      </c>
      <c r="H7" s="10">
        <f>(C7*0.2)+(D7*0.2)+(E7*0.2)+(F7*0.2)+(G7*0.2)</f>
        <v>3.3800000000000008</v>
      </c>
      <c r="I7" s="15"/>
      <c r="K7" s="13" t="s">
        <v>7</v>
      </c>
      <c r="L7" s="20">
        <f t="shared" si="0"/>
        <v>8.0080000000000027</v>
      </c>
    </row>
    <row r="8" spans="2:12" x14ac:dyDescent="0.35">
      <c r="B8" s="9" t="s">
        <v>8</v>
      </c>
      <c r="C8" s="3">
        <v>4.5</v>
      </c>
      <c r="D8" s="3">
        <v>4.5999999999999996</v>
      </c>
      <c r="E8" s="3">
        <v>4.7</v>
      </c>
      <c r="F8" s="3">
        <v>4.3</v>
      </c>
      <c r="G8" s="3">
        <v>4.9000000000000004</v>
      </c>
      <c r="H8" s="10">
        <f>(C8*0.2)+(D8*0.2)+(E8*0.2)+(F8*0.2)+(G8*0.2)</f>
        <v>4.5999999999999996</v>
      </c>
      <c r="I8" s="15"/>
      <c r="K8" s="13" t="s">
        <v>8</v>
      </c>
      <c r="L8" s="19">
        <f t="shared" si="0"/>
        <v>10.93069306930693</v>
      </c>
    </row>
    <row r="9" spans="2:12" x14ac:dyDescent="0.35">
      <c r="B9" s="9" t="s">
        <v>9</v>
      </c>
      <c r="C9" s="3">
        <v>3.2</v>
      </c>
      <c r="D9" s="3">
        <v>3.1</v>
      </c>
      <c r="E9" s="3">
        <v>3.4</v>
      </c>
      <c r="F9" s="3">
        <v>3</v>
      </c>
      <c r="G9" s="3">
        <v>3.5</v>
      </c>
      <c r="H9" s="10">
        <f>(C9*0.2)+(D9*0.2)+(E9*0.2)+(F9*0.2)+(G9*0.2)</f>
        <v>3.2400000000000007</v>
      </c>
      <c r="I9" s="15"/>
      <c r="K9" s="13" t="s">
        <v>9</v>
      </c>
      <c r="L9" s="20">
        <f t="shared" si="0"/>
        <v>7.9367441860465133</v>
      </c>
    </row>
    <row r="10" spans="2:12" x14ac:dyDescent="0.35">
      <c r="B10" s="9" t="s">
        <v>10</v>
      </c>
      <c r="C10" s="3">
        <v>3.6</v>
      </c>
      <c r="D10" s="3">
        <v>3.4</v>
      </c>
      <c r="E10" s="3">
        <v>3.7</v>
      </c>
      <c r="F10" s="3">
        <v>3.3</v>
      </c>
      <c r="G10" s="3">
        <v>3.8</v>
      </c>
      <c r="H10" s="10">
        <f>(C10*0.2)+(D10*0.2)+(E10*0.2)+(F10*0.2)+(G10*0.2)</f>
        <v>3.5600000000000005</v>
      </c>
      <c r="I10" s="15"/>
      <c r="K10" s="13" t="s">
        <v>10</v>
      </c>
      <c r="L10" s="20">
        <f t="shared" si="0"/>
        <v>7.7951724137931038</v>
      </c>
    </row>
    <row r="11" spans="2:12" x14ac:dyDescent="0.35">
      <c r="B11" s="9" t="s">
        <v>11</v>
      </c>
      <c r="C11" s="3">
        <v>4.9000000000000004</v>
      </c>
      <c r="D11" s="3">
        <v>5</v>
      </c>
      <c r="E11" s="3">
        <v>4.8</v>
      </c>
      <c r="F11" s="3">
        <v>4.7</v>
      </c>
      <c r="G11" s="3">
        <v>5</v>
      </c>
      <c r="H11" s="10">
        <f>(C11*0.2)+(D11*0.2)+(E11*0.2)+(F11*0.2)+(G11*0.2)</f>
        <v>4.88</v>
      </c>
      <c r="I11" s="15"/>
      <c r="K11" s="13" t="s">
        <v>11</v>
      </c>
      <c r="L11" s="19">
        <f t="shared" si="0"/>
        <v>11.651291866028711</v>
      </c>
    </row>
    <row r="12" spans="2:12" x14ac:dyDescent="0.35">
      <c r="B12" s="9" t="s">
        <v>12</v>
      </c>
      <c r="C12" s="3">
        <v>3.7</v>
      </c>
      <c r="D12" s="3">
        <v>3.5</v>
      </c>
      <c r="E12" s="3">
        <v>3.8</v>
      </c>
      <c r="F12" s="3">
        <v>3.4</v>
      </c>
      <c r="G12" s="3">
        <v>3.9</v>
      </c>
      <c r="H12" s="10">
        <f>(C12*0.2)+(D12*0.2)+(E12*0.2)+(F12*0.2)+(G12*0.2)</f>
        <v>3.66</v>
      </c>
      <c r="I12" s="15"/>
      <c r="K12" s="13" t="s">
        <v>12</v>
      </c>
      <c r="L12" s="20">
        <f t="shared" si="0"/>
        <v>9.0160975609756093</v>
      </c>
    </row>
    <row r="13" spans="2:12" x14ac:dyDescent="0.35">
      <c r="B13" s="9" t="s">
        <v>13</v>
      </c>
      <c r="C13" s="3">
        <v>2.1</v>
      </c>
      <c r="D13" s="3">
        <v>2</v>
      </c>
      <c r="E13" s="3">
        <v>2.2999999999999998</v>
      </c>
      <c r="F13" s="3">
        <v>2</v>
      </c>
      <c r="G13" s="3">
        <v>2.4</v>
      </c>
      <c r="H13" s="10">
        <f>(C13*0.2)+(D13*0.2)+(E13*0.2)+(F13*0.2)+(G13*0.2)</f>
        <v>2.16</v>
      </c>
      <c r="I13" s="15"/>
      <c r="K13" s="13" t="s">
        <v>13</v>
      </c>
      <c r="L13" s="21">
        <f t="shared" si="0"/>
        <v>3.1680000000000006</v>
      </c>
    </row>
    <row r="14" spans="2:12" x14ac:dyDescent="0.35">
      <c r="B14" s="9" t="s">
        <v>14</v>
      </c>
      <c r="C14" s="3">
        <v>4.5</v>
      </c>
      <c r="D14" s="3">
        <v>4.4000000000000004</v>
      </c>
      <c r="E14" s="3">
        <v>4.5999999999999996</v>
      </c>
      <c r="F14" s="3">
        <v>4.3</v>
      </c>
      <c r="G14" s="3">
        <v>4.7</v>
      </c>
      <c r="H14" s="10">
        <f>(C14*0.2)+(D14*0.2)+(E14*0.2)+(F14*0.2)+(G14*0.2)</f>
        <v>4.5</v>
      </c>
      <c r="I14" s="15"/>
      <c r="K14" s="13" t="s">
        <v>14</v>
      </c>
      <c r="L14" s="19">
        <f t="shared" si="0"/>
        <v>12.463636363636363</v>
      </c>
    </row>
    <row r="15" spans="2:12" x14ac:dyDescent="0.35">
      <c r="B15" s="9" t="s">
        <v>15</v>
      </c>
      <c r="C15" s="3">
        <v>2.2000000000000002</v>
      </c>
      <c r="D15" s="3">
        <v>2.1</v>
      </c>
      <c r="E15" s="3">
        <v>2.4</v>
      </c>
      <c r="F15" s="3">
        <v>2</v>
      </c>
      <c r="G15" s="3">
        <v>2.5</v>
      </c>
      <c r="H15" s="10">
        <f>(C15*0.2)+(D15*0.2)+(E15*0.2)+(F15*0.2)+(G15*0.2)</f>
        <v>2.2400000000000002</v>
      </c>
      <c r="I15" s="15"/>
      <c r="K15" s="13" t="s">
        <v>15</v>
      </c>
      <c r="L15" s="21">
        <f t="shared" si="0"/>
        <v>3.8334020618556708</v>
      </c>
    </row>
    <row r="16" spans="2:12" x14ac:dyDescent="0.35">
      <c r="B16" s="9" t="s">
        <v>16</v>
      </c>
      <c r="C16" s="3">
        <v>3.5</v>
      </c>
      <c r="D16" s="3">
        <v>3.3</v>
      </c>
      <c r="E16" s="3">
        <v>3.6</v>
      </c>
      <c r="F16" s="3">
        <v>3.2</v>
      </c>
      <c r="G16" s="3">
        <v>3.7</v>
      </c>
      <c r="H16" s="10">
        <f>(C16*0.2)+(D16*0.2)+(E16*0.2)+(F16*0.2)+(G16*0.2)</f>
        <v>3.4600000000000004</v>
      </c>
      <c r="I16" s="15"/>
      <c r="K16" s="13" t="s">
        <v>16</v>
      </c>
      <c r="L16" s="20">
        <f t="shared" si="0"/>
        <v>7.6863087248322159</v>
      </c>
    </row>
    <row r="17" spans="2:12" x14ac:dyDescent="0.35">
      <c r="B17" s="9" t="s">
        <v>17</v>
      </c>
      <c r="C17" s="3">
        <v>2.2999999999999998</v>
      </c>
      <c r="D17" s="3">
        <v>2.2000000000000002</v>
      </c>
      <c r="E17" s="3">
        <v>2.5</v>
      </c>
      <c r="F17" s="3">
        <v>2.1</v>
      </c>
      <c r="G17" s="3">
        <v>2.6</v>
      </c>
      <c r="H17" s="10">
        <f>(C17*0.2)+(D17*0.2)+(E17*0.2)+(F17*0.2)+(G17*0.2)</f>
        <v>2.34</v>
      </c>
      <c r="I17" s="15"/>
      <c r="K17" s="13" t="s">
        <v>17</v>
      </c>
      <c r="L17" s="21">
        <f t="shared" si="0"/>
        <v>4.1523529411764706</v>
      </c>
    </row>
    <row r="18" spans="2:12" x14ac:dyDescent="0.35">
      <c r="B18" s="9" t="s">
        <v>18</v>
      </c>
      <c r="C18" s="3">
        <v>3.7</v>
      </c>
      <c r="D18" s="3">
        <v>3.5</v>
      </c>
      <c r="E18" s="3">
        <v>3.8</v>
      </c>
      <c r="F18" s="3">
        <v>3.4</v>
      </c>
      <c r="G18" s="3">
        <v>3.9</v>
      </c>
      <c r="H18" s="10">
        <f>(C18*0.2)+(D18*0.2)+(E18*0.2)+(F18*0.2)+(G18*0.2)</f>
        <v>3.66</v>
      </c>
      <c r="I18" s="15"/>
      <c r="K18" s="13" t="s">
        <v>18</v>
      </c>
      <c r="L18" s="20">
        <f t="shared" si="0"/>
        <v>9.4460294117647088</v>
      </c>
    </row>
    <row r="19" spans="2:12" x14ac:dyDescent="0.35">
      <c r="B19" s="9" t="s">
        <v>19</v>
      </c>
      <c r="C19" s="3">
        <v>3.7</v>
      </c>
      <c r="D19" s="3">
        <v>3.5</v>
      </c>
      <c r="E19" s="3">
        <v>3.7</v>
      </c>
      <c r="F19" s="3">
        <v>3.4</v>
      </c>
      <c r="G19" s="3">
        <v>3.8</v>
      </c>
      <c r="H19" s="10">
        <f>(C19*0.2)+(D19*0.2)+(E19*0.2)+(F19*0.2)+(G19*0.2)</f>
        <v>3.62</v>
      </c>
      <c r="I19" s="15"/>
      <c r="K19" s="13" t="s">
        <v>19</v>
      </c>
      <c r="L19" s="20">
        <f t="shared" si="0"/>
        <v>8.5498684210526328</v>
      </c>
    </row>
    <row r="20" spans="2:12" x14ac:dyDescent="0.35">
      <c r="B20" s="9" t="s">
        <v>20</v>
      </c>
      <c r="C20" s="3">
        <v>5</v>
      </c>
      <c r="D20" s="3">
        <v>5</v>
      </c>
      <c r="E20" s="3">
        <v>4.9000000000000004</v>
      </c>
      <c r="F20" s="3">
        <v>4.9000000000000004</v>
      </c>
      <c r="G20" s="3">
        <v>5</v>
      </c>
      <c r="H20" s="10">
        <f>(C20*0.2)+(D20*0.2)+(E20*0.2)+(F20*0.2)+(G20*0.2)</f>
        <v>4.96</v>
      </c>
      <c r="I20" s="15"/>
      <c r="K20" s="13" t="s">
        <v>20</v>
      </c>
      <c r="L20" s="19">
        <f t="shared" si="0"/>
        <v>10.577094017094019</v>
      </c>
    </row>
    <row r="21" spans="2:12" x14ac:dyDescent="0.35">
      <c r="B21" s="9" t="s">
        <v>21</v>
      </c>
      <c r="C21" s="3">
        <v>3.6</v>
      </c>
      <c r="D21" s="3">
        <v>3.5</v>
      </c>
      <c r="E21" s="3">
        <v>3.7</v>
      </c>
      <c r="F21" s="3">
        <v>3.3</v>
      </c>
      <c r="G21" s="3">
        <v>3.8</v>
      </c>
      <c r="H21" s="10">
        <f>(C21*0.2)+(D21*0.2)+(E21*0.2)+(F21*0.2)+(G21*0.2)</f>
        <v>3.58</v>
      </c>
      <c r="I21" s="15"/>
      <c r="K21" s="13" t="s">
        <v>21</v>
      </c>
      <c r="L21" s="20">
        <f t="shared" si="0"/>
        <v>7.6746249999999989</v>
      </c>
    </row>
    <row r="22" spans="2:12" x14ac:dyDescent="0.35">
      <c r="B22" s="9" t="s">
        <v>22</v>
      </c>
      <c r="C22" s="3">
        <v>3.5</v>
      </c>
      <c r="D22" s="3">
        <v>3.4</v>
      </c>
      <c r="E22" s="3">
        <v>3.6</v>
      </c>
      <c r="F22" s="3">
        <v>3.2</v>
      </c>
      <c r="G22" s="3">
        <v>3.7</v>
      </c>
      <c r="H22" s="10">
        <f>(C22*0.2)+(D22*0.2)+(E22*0.2)+(F22*0.2)+(G22*0.2)</f>
        <v>3.4800000000000004</v>
      </c>
      <c r="I22" s="15"/>
      <c r="K22" s="13" t="s">
        <v>22</v>
      </c>
      <c r="L22" s="20">
        <f t="shared" si="0"/>
        <v>7.06609756097561</v>
      </c>
    </row>
    <row r="23" spans="2:12" x14ac:dyDescent="0.35">
      <c r="B23" s="9" t="s">
        <v>23</v>
      </c>
      <c r="C23" s="3">
        <v>3.4</v>
      </c>
      <c r="D23" s="3">
        <v>3.3</v>
      </c>
      <c r="E23" s="3">
        <v>3.5</v>
      </c>
      <c r="F23" s="3">
        <v>3</v>
      </c>
      <c r="G23" s="3">
        <v>3.6</v>
      </c>
      <c r="H23" s="10">
        <f>(C23*0.2)+(D23*0.2)+(E23*0.2)+(F23*0.2)+(G23*0.2)</f>
        <v>3.3600000000000003</v>
      </c>
      <c r="I23" s="15"/>
      <c r="K23" s="13" t="s">
        <v>23</v>
      </c>
      <c r="L23" s="20">
        <f t="shared" si="0"/>
        <v>6.4415469613259662</v>
      </c>
    </row>
    <row r="24" spans="2:12" x14ac:dyDescent="0.35">
      <c r="B24" s="9" t="s">
        <v>24</v>
      </c>
      <c r="C24" s="3">
        <v>5</v>
      </c>
      <c r="D24" s="3">
        <v>5</v>
      </c>
      <c r="E24" s="3">
        <v>4.9000000000000004</v>
      </c>
      <c r="F24" s="3">
        <v>5</v>
      </c>
      <c r="G24" s="3">
        <v>5</v>
      </c>
      <c r="H24" s="10">
        <f>(C24*0.2)+(D24*0.2)+(E24*0.2)+(F24*0.2)+(G24*0.2)</f>
        <v>4.9800000000000004</v>
      </c>
      <c r="I24" s="15"/>
      <c r="K24" s="13" t="s">
        <v>24</v>
      </c>
      <c r="L24" s="19">
        <f t="shared" si="0"/>
        <v>11.01769911504425</v>
      </c>
    </row>
    <row r="25" spans="2:12" x14ac:dyDescent="0.35">
      <c r="B25" s="9" t="s">
        <v>25</v>
      </c>
      <c r="C25" s="3">
        <v>2.4</v>
      </c>
      <c r="D25" s="3">
        <v>2.2999999999999998</v>
      </c>
      <c r="E25" s="3">
        <v>2.6</v>
      </c>
      <c r="F25" s="3">
        <v>2.2000000000000002</v>
      </c>
      <c r="G25" s="3">
        <v>2.7</v>
      </c>
      <c r="H25" s="10">
        <f>(C25*0.2)+(D25*0.2)+(E25*0.2)+(F25*0.2)+(G25*0.2)</f>
        <v>2.44</v>
      </c>
      <c r="I25" s="15"/>
      <c r="K25" s="13" t="s">
        <v>25</v>
      </c>
      <c r="L25" s="21">
        <f t="shared" si="0"/>
        <v>5.0585365853658528</v>
      </c>
    </row>
    <row r="26" spans="2:12" x14ac:dyDescent="0.35">
      <c r="B26" s="1"/>
      <c r="C26" s="3"/>
      <c r="D26" s="3"/>
      <c r="E26" s="3"/>
      <c r="F26" s="3"/>
      <c r="G26" s="3"/>
      <c r="H26" s="10"/>
      <c r="I26" s="15"/>
      <c r="L26" s="2"/>
    </row>
    <row r="27" spans="2:12" x14ac:dyDescent="0.35">
      <c r="B27" s="8" t="s">
        <v>1</v>
      </c>
      <c r="C27" s="16" t="s">
        <v>26</v>
      </c>
      <c r="D27" s="16" t="s">
        <v>27</v>
      </c>
      <c r="E27" s="16" t="s">
        <v>28</v>
      </c>
      <c r="F27" s="16" t="s">
        <v>29</v>
      </c>
      <c r="G27" s="16" t="s">
        <v>30</v>
      </c>
      <c r="H27" s="17" t="s">
        <v>3</v>
      </c>
      <c r="I27" s="15"/>
      <c r="L27" s="2"/>
    </row>
    <row r="28" spans="2:12" x14ac:dyDescent="0.35">
      <c r="B28" s="9" t="s">
        <v>5</v>
      </c>
      <c r="C28" s="3">
        <v>10</v>
      </c>
      <c r="D28" s="3">
        <v>9.6</v>
      </c>
      <c r="E28" s="3">
        <v>10</v>
      </c>
      <c r="F28" s="3">
        <v>9.8000000000000007</v>
      </c>
      <c r="G28" s="3">
        <v>10</v>
      </c>
      <c r="H28" s="10">
        <f>(C28*0.2)+(D28*0.2)+(E28*0.2)+(F28*0.2)+(G28*0.2)</f>
        <v>9.879999999999999</v>
      </c>
      <c r="I28" s="15"/>
      <c r="L28" s="2"/>
    </row>
    <row r="29" spans="2:12" x14ac:dyDescent="0.35">
      <c r="B29" s="9" t="s">
        <v>6</v>
      </c>
      <c r="C29" s="3">
        <v>9.5</v>
      </c>
      <c r="D29" s="3">
        <v>9.3000000000000007</v>
      </c>
      <c r="E29" s="3">
        <v>9.6999999999999993</v>
      </c>
      <c r="F29" s="3">
        <v>9.1</v>
      </c>
      <c r="G29" s="3">
        <v>10</v>
      </c>
      <c r="H29" s="10">
        <f>(C29*0.2)+(D29*0.2)+(E29*0.2)+(F29*0.2)+(G29*0.2)</f>
        <v>9.5200000000000014</v>
      </c>
      <c r="I29" s="15"/>
      <c r="L29" s="2"/>
    </row>
    <row r="30" spans="2:12" x14ac:dyDescent="0.35">
      <c r="B30" s="9" t="s">
        <v>7</v>
      </c>
      <c r="C30" s="3">
        <v>6.2</v>
      </c>
      <c r="D30" s="3">
        <v>5.7</v>
      </c>
      <c r="E30" s="3">
        <v>6.5</v>
      </c>
      <c r="F30" s="3">
        <v>5.6</v>
      </c>
      <c r="G30" s="3">
        <v>6.8</v>
      </c>
      <c r="H30" s="10">
        <f>(C30*0.2)+(D30*0.2)+(E30*0.2)+(F30*0.2)+(G30*0.2)</f>
        <v>6.160000000000001</v>
      </c>
      <c r="I30" s="15"/>
      <c r="L30" s="2"/>
    </row>
    <row r="31" spans="2:12" x14ac:dyDescent="0.35">
      <c r="B31" s="9" t="s">
        <v>8</v>
      </c>
      <c r="C31" s="3">
        <v>9.6</v>
      </c>
      <c r="D31" s="3">
        <v>9.4</v>
      </c>
      <c r="E31" s="3">
        <v>9.8000000000000007</v>
      </c>
      <c r="F31" s="3">
        <v>9.1999999999999993</v>
      </c>
      <c r="G31" s="3">
        <v>10</v>
      </c>
      <c r="H31" s="10">
        <f>(C31*0.2)+(D31*0.2)+(E31*0.2)+(F31*0.2)+(G31*0.2)</f>
        <v>9.6</v>
      </c>
      <c r="I31" s="15"/>
      <c r="L31" s="2"/>
    </row>
    <row r="32" spans="2:12" x14ac:dyDescent="0.35">
      <c r="B32" s="9" t="s">
        <v>9</v>
      </c>
      <c r="C32" s="3">
        <v>6.4</v>
      </c>
      <c r="D32" s="3">
        <v>6.1</v>
      </c>
      <c r="E32" s="3">
        <v>6.5</v>
      </c>
      <c r="F32" s="3">
        <v>5.9</v>
      </c>
      <c r="G32" s="3">
        <v>6.7</v>
      </c>
      <c r="H32" s="10">
        <f>(C32*0.2)+(D32*0.2)+(E32*0.2)+(F32*0.2)+(G32*0.2)</f>
        <v>6.32</v>
      </c>
      <c r="I32" s="15"/>
      <c r="L32" s="2"/>
    </row>
    <row r="33" spans="2:12" x14ac:dyDescent="0.35">
      <c r="B33" s="9" t="s">
        <v>10</v>
      </c>
      <c r="C33" s="3">
        <v>7.6</v>
      </c>
      <c r="D33" s="3">
        <v>7.3</v>
      </c>
      <c r="E33" s="3">
        <v>7.9</v>
      </c>
      <c r="F33" s="3">
        <v>7.1</v>
      </c>
      <c r="G33" s="3">
        <v>8.1999999999999993</v>
      </c>
      <c r="H33" s="10">
        <f>(C33*0.2)+(D33*0.2)+(E33*0.2)+(F33*0.2)+(G33*0.2)</f>
        <v>7.62</v>
      </c>
      <c r="I33" s="15"/>
      <c r="L33" s="2"/>
    </row>
    <row r="34" spans="2:12" x14ac:dyDescent="0.35">
      <c r="B34" s="9" t="s">
        <v>11</v>
      </c>
      <c r="C34" s="3">
        <v>10</v>
      </c>
      <c r="D34" s="3">
        <v>10</v>
      </c>
      <c r="E34" s="3">
        <v>10</v>
      </c>
      <c r="F34" s="3">
        <v>9.9</v>
      </c>
      <c r="G34" s="3">
        <v>10</v>
      </c>
      <c r="H34" s="10">
        <f>(C34*0.2)+(D34*0.2)+(E34*0.2)+(F34*0.2)+(G34*0.2)</f>
        <v>9.98</v>
      </c>
      <c r="I34" s="15"/>
      <c r="L34" s="2"/>
    </row>
    <row r="35" spans="2:12" x14ac:dyDescent="0.35">
      <c r="B35" s="9" t="s">
        <v>12</v>
      </c>
      <c r="C35" s="3">
        <v>8.1</v>
      </c>
      <c r="D35" s="3">
        <v>7.7</v>
      </c>
      <c r="E35" s="3">
        <v>8.4</v>
      </c>
      <c r="F35" s="3">
        <v>7.6</v>
      </c>
      <c r="G35" s="3">
        <v>8.6</v>
      </c>
      <c r="H35" s="10">
        <f>(C35*0.2)+(D35*0.2)+(E35*0.2)+(F35*0.2)+(G35*0.2)</f>
        <v>8.08</v>
      </c>
      <c r="I35" s="15"/>
      <c r="L35" s="2"/>
    </row>
    <row r="36" spans="2:12" x14ac:dyDescent="0.35">
      <c r="B36" s="9" t="s">
        <v>13</v>
      </c>
      <c r="C36" s="3">
        <v>3.1</v>
      </c>
      <c r="D36" s="3">
        <v>2.7</v>
      </c>
      <c r="E36" s="3">
        <v>3.4</v>
      </c>
      <c r="F36" s="3">
        <v>2.6</v>
      </c>
      <c r="G36" s="3">
        <v>3.6</v>
      </c>
      <c r="H36" s="10">
        <f>(C36*0.2)+(D36*0.2)+(E36*0.2)+(F36*0.2)+(G36*0.2)</f>
        <v>3.0800000000000005</v>
      </c>
      <c r="I36" s="15"/>
      <c r="L36" s="2"/>
    </row>
    <row r="37" spans="2:12" x14ac:dyDescent="0.35">
      <c r="B37" s="9" t="s">
        <v>14</v>
      </c>
      <c r="C37" s="3">
        <v>9.1999999999999993</v>
      </c>
      <c r="D37" s="3">
        <v>8.6999999999999993</v>
      </c>
      <c r="E37" s="3">
        <v>9.5</v>
      </c>
      <c r="F37" s="3">
        <v>8.6</v>
      </c>
      <c r="G37" s="3">
        <v>9.6999999999999993</v>
      </c>
      <c r="H37" s="10">
        <f>(C37*0.2)+(D37*0.2)+(E37*0.2)+(F37*0.2)+(G37*0.2)</f>
        <v>9.14</v>
      </c>
      <c r="I37" s="15"/>
      <c r="L37" s="2"/>
    </row>
    <row r="38" spans="2:12" x14ac:dyDescent="0.35">
      <c r="B38" s="9" t="s">
        <v>15</v>
      </c>
      <c r="C38" s="3">
        <v>3.4</v>
      </c>
      <c r="D38" s="3">
        <v>3</v>
      </c>
      <c r="E38" s="3">
        <v>3.6</v>
      </c>
      <c r="F38" s="3">
        <v>2.9</v>
      </c>
      <c r="G38" s="3">
        <v>3.7</v>
      </c>
      <c r="H38" s="10">
        <f>(C38*0.2)+(D38*0.2)+(E38*0.2)+(F38*0.2)+(G38*0.2)</f>
        <v>3.3200000000000007</v>
      </c>
      <c r="I38" s="15"/>
      <c r="L38" s="2"/>
    </row>
    <row r="39" spans="2:12" x14ac:dyDescent="0.35">
      <c r="B39" s="9" t="s">
        <v>16</v>
      </c>
      <c r="C39" s="3">
        <v>6.6</v>
      </c>
      <c r="D39" s="3">
        <v>6.3</v>
      </c>
      <c r="E39" s="3">
        <v>7</v>
      </c>
      <c r="F39" s="3">
        <v>6</v>
      </c>
      <c r="G39" s="3">
        <v>7.2</v>
      </c>
      <c r="H39" s="10">
        <f>(C39*0.2)+(D39*0.2)+(E39*0.2)+(F39*0.2)+(G39*0.2)</f>
        <v>6.620000000000001</v>
      </c>
      <c r="I39" s="15"/>
      <c r="L39" s="2"/>
    </row>
    <row r="40" spans="2:12" x14ac:dyDescent="0.35">
      <c r="B40" s="9" t="s">
        <v>17</v>
      </c>
      <c r="C40" s="3">
        <v>3.6</v>
      </c>
      <c r="D40" s="3">
        <v>3.4</v>
      </c>
      <c r="E40" s="3">
        <v>3.8</v>
      </c>
      <c r="F40" s="3">
        <v>3.2</v>
      </c>
      <c r="G40" s="3">
        <v>4.0999999999999996</v>
      </c>
      <c r="H40" s="10">
        <f>(C40*0.2)+(D40*0.2)+(E40*0.2)+(F40*0.2)+(G40*0.2)</f>
        <v>3.62</v>
      </c>
      <c r="I40" s="15"/>
      <c r="L40" s="2"/>
    </row>
    <row r="41" spans="2:12" x14ac:dyDescent="0.35">
      <c r="B41" s="9" t="s">
        <v>18</v>
      </c>
      <c r="C41" s="3">
        <v>7.1</v>
      </c>
      <c r="D41" s="3">
        <v>6.6</v>
      </c>
      <c r="E41" s="3">
        <v>7.4</v>
      </c>
      <c r="F41" s="3">
        <v>6.4</v>
      </c>
      <c r="G41" s="3">
        <v>7.6</v>
      </c>
      <c r="H41" s="10">
        <f>(C41*0.2)+(D41*0.2)+(E41*0.2)+(F41*0.2)+(G41*0.2)</f>
        <v>7.0200000000000014</v>
      </c>
      <c r="I41" s="15"/>
      <c r="L41" s="2"/>
    </row>
    <row r="42" spans="2:12" x14ac:dyDescent="0.35">
      <c r="B42" s="9" t="s">
        <v>19</v>
      </c>
      <c r="C42" s="3">
        <v>7.2</v>
      </c>
      <c r="D42" s="3">
        <v>6.9</v>
      </c>
      <c r="E42" s="3">
        <v>7.5</v>
      </c>
      <c r="F42" s="3">
        <v>6.6</v>
      </c>
      <c r="G42" s="3">
        <v>7.7</v>
      </c>
      <c r="H42" s="10">
        <f>(C42*0.2)+(D42*0.2)+(E42*0.2)+(F42*0.2)+(G42*0.2)</f>
        <v>7.1800000000000006</v>
      </c>
      <c r="I42" s="15"/>
      <c r="L42" s="2"/>
    </row>
    <row r="43" spans="2:12" x14ac:dyDescent="0.35">
      <c r="B43" s="9" t="s">
        <v>20</v>
      </c>
      <c r="C43" s="3">
        <v>10</v>
      </c>
      <c r="D43" s="3">
        <v>10</v>
      </c>
      <c r="E43" s="3">
        <v>10</v>
      </c>
      <c r="F43" s="3">
        <v>9.9</v>
      </c>
      <c r="G43" s="3">
        <v>10</v>
      </c>
      <c r="H43" s="10">
        <f>(C43*0.2)+(D43*0.2)+(E43*0.2)+(F43*0.2)+(G43*0.2)</f>
        <v>9.98</v>
      </c>
      <c r="I43" s="15"/>
      <c r="L43" s="2"/>
    </row>
    <row r="44" spans="2:12" x14ac:dyDescent="0.35">
      <c r="B44" s="9" t="s">
        <v>21</v>
      </c>
      <c r="C44" s="3">
        <v>6.8</v>
      </c>
      <c r="D44" s="3">
        <v>6.5</v>
      </c>
      <c r="E44" s="3">
        <v>7.2</v>
      </c>
      <c r="F44" s="3">
        <v>6.3</v>
      </c>
      <c r="G44" s="3">
        <v>7.5</v>
      </c>
      <c r="H44" s="10">
        <f>(C44*0.2)+(D44*0.2)+(E44*0.2)+(F44*0.2)+(G44*0.2)</f>
        <v>6.86</v>
      </c>
      <c r="I44" s="15"/>
      <c r="L44" s="2"/>
    </row>
    <row r="45" spans="2:12" x14ac:dyDescent="0.35">
      <c r="B45" s="9" t="s">
        <v>22</v>
      </c>
      <c r="C45" s="3">
        <v>6.6</v>
      </c>
      <c r="D45" s="3">
        <v>6.4</v>
      </c>
      <c r="E45" s="3">
        <v>7</v>
      </c>
      <c r="F45" s="3">
        <v>6.1</v>
      </c>
      <c r="G45" s="3">
        <v>7.2</v>
      </c>
      <c r="H45" s="10">
        <f>(C45*0.2)+(D45*0.2)+(E45*0.2)+(F45*0.2)+(G45*0.2)</f>
        <v>6.660000000000001</v>
      </c>
      <c r="I45" s="15"/>
      <c r="L45" s="2"/>
    </row>
    <row r="46" spans="2:12" x14ac:dyDescent="0.35">
      <c r="B46" s="9" t="s">
        <v>23</v>
      </c>
      <c r="C46" s="3">
        <v>7</v>
      </c>
      <c r="D46" s="3">
        <v>6.6</v>
      </c>
      <c r="E46" s="3">
        <v>7.3</v>
      </c>
      <c r="F46" s="3">
        <v>6.2</v>
      </c>
      <c r="G46" s="3">
        <v>7.6</v>
      </c>
      <c r="H46" s="10">
        <f>(C46*0.2)+(D46*0.2)+(E46*0.2)+(F46*0.2)+(G46*0.2)</f>
        <v>6.9399999999999995</v>
      </c>
      <c r="I46" s="15"/>
      <c r="L46" s="2"/>
    </row>
    <row r="47" spans="2:12" x14ac:dyDescent="0.35">
      <c r="B47" s="9" t="s">
        <v>24</v>
      </c>
      <c r="C47" s="3">
        <v>10</v>
      </c>
      <c r="D47" s="3">
        <v>10</v>
      </c>
      <c r="E47" s="3">
        <v>10</v>
      </c>
      <c r="F47" s="3">
        <v>10</v>
      </c>
      <c r="G47" s="3">
        <v>10</v>
      </c>
      <c r="H47" s="10">
        <f>(C47*0.2)+(D47*0.2)+(E47*0.2)+(F47*0.2)+(G47*0.2)</f>
        <v>10</v>
      </c>
      <c r="I47" s="15"/>
      <c r="L47" s="2"/>
    </row>
    <row r="48" spans="2:12" x14ac:dyDescent="0.35">
      <c r="B48" s="9" t="s">
        <v>25</v>
      </c>
      <c r="C48" s="3">
        <v>5.0999999999999996</v>
      </c>
      <c r="D48" s="3">
        <v>4.7</v>
      </c>
      <c r="E48" s="3">
        <v>5.4</v>
      </c>
      <c r="F48" s="3">
        <v>4.5999999999999996</v>
      </c>
      <c r="G48" s="3">
        <v>5.7</v>
      </c>
      <c r="H48" s="10">
        <f>(C48*0.2)+(D48*0.2)+(E48*0.2)+(F48*0.2)+(G48*0.2)</f>
        <v>5.0999999999999996</v>
      </c>
      <c r="I48" s="15"/>
    </row>
    <row r="49" spans="2:9" x14ac:dyDescent="0.35">
      <c r="B49" s="1"/>
      <c r="C49" s="6"/>
      <c r="D49" s="6"/>
      <c r="E49" s="3"/>
      <c r="F49" s="6"/>
      <c r="G49" s="6"/>
      <c r="H49" s="10"/>
      <c r="I49" s="15"/>
    </row>
    <row r="50" spans="2:9" x14ac:dyDescent="0.35">
      <c r="B50" s="8" t="s">
        <v>0</v>
      </c>
      <c r="C50" s="8" t="s">
        <v>26</v>
      </c>
      <c r="D50" s="8" t="s">
        <v>27</v>
      </c>
      <c r="E50" s="8" t="s">
        <v>28</v>
      </c>
      <c r="F50" s="8" t="s">
        <v>29</v>
      </c>
      <c r="G50" s="8" t="s">
        <v>30</v>
      </c>
      <c r="H50" s="8" t="s">
        <v>3</v>
      </c>
      <c r="I50" s="12"/>
    </row>
    <row r="51" spans="2:9" x14ac:dyDescent="0.35">
      <c r="B51" s="9" t="s">
        <v>5</v>
      </c>
      <c r="C51" s="3">
        <v>3</v>
      </c>
      <c r="D51" s="3">
        <v>3.2</v>
      </c>
      <c r="E51" s="3">
        <v>3</v>
      </c>
      <c r="F51" s="3">
        <v>3.1</v>
      </c>
      <c r="G51" s="3">
        <v>3.4</v>
      </c>
      <c r="H51" s="10">
        <f>(C51*0.2)+(D51*0.2)+(E51*0.2)+(F51*0.2)+(G6*0.2)</f>
        <v>3.4600000000000004</v>
      </c>
      <c r="I51" s="15"/>
    </row>
    <row r="52" spans="2:9" x14ac:dyDescent="0.35">
      <c r="B52" s="9" t="s">
        <v>6</v>
      </c>
      <c r="C52" s="3">
        <v>4.5999999999999996</v>
      </c>
      <c r="D52" s="3">
        <v>4.4000000000000004</v>
      </c>
      <c r="E52" s="3">
        <v>4.7</v>
      </c>
      <c r="F52" s="3">
        <v>4.2</v>
      </c>
      <c r="G52" s="3">
        <v>4.8</v>
      </c>
      <c r="H52" s="10">
        <f>(C52*0.2)+(D52*0.2)+(E52*0.2)+(F52*0.2)+(G7*0.2)</f>
        <v>4.3</v>
      </c>
      <c r="I52" s="15"/>
    </row>
    <row r="53" spans="2:9" x14ac:dyDescent="0.35">
      <c r="B53" s="9" t="s">
        <v>7</v>
      </c>
      <c r="C53" s="3">
        <v>2</v>
      </c>
      <c r="D53" s="3">
        <v>2.1</v>
      </c>
      <c r="E53" s="3">
        <v>2</v>
      </c>
      <c r="F53" s="3">
        <v>2</v>
      </c>
      <c r="G53" s="3">
        <v>2.2999999999999998</v>
      </c>
      <c r="H53" s="10">
        <f>(C53*0.2)+(D53*0.2)+(E53*0.2)+(F53*0.2)+(G8*0.2)</f>
        <v>2.6</v>
      </c>
      <c r="I53" s="15"/>
    </row>
    <row r="54" spans="2:9" x14ac:dyDescent="0.35">
      <c r="B54" s="9" t="s">
        <v>8</v>
      </c>
      <c r="C54" s="3">
        <v>4.2</v>
      </c>
      <c r="D54" s="3">
        <v>4.0999999999999996</v>
      </c>
      <c r="E54" s="3">
        <v>4.4000000000000004</v>
      </c>
      <c r="F54" s="3">
        <v>4</v>
      </c>
      <c r="G54" s="3">
        <v>4.5</v>
      </c>
      <c r="H54" s="10">
        <f>(C54*0.2)+(D54*0.2)+(E54*0.2)+(F54*0.2)+(G9*0.2)</f>
        <v>4.04</v>
      </c>
      <c r="I54" s="15"/>
    </row>
    <row r="55" spans="2:9" x14ac:dyDescent="0.35">
      <c r="B55" s="9" t="s">
        <v>9</v>
      </c>
      <c r="C55" s="3">
        <v>2.4</v>
      </c>
      <c r="D55" s="3">
        <v>2.2000000000000002</v>
      </c>
      <c r="E55" s="3">
        <v>2.5</v>
      </c>
      <c r="F55" s="3">
        <v>2</v>
      </c>
      <c r="G55" s="3">
        <v>2.6</v>
      </c>
      <c r="H55" s="10">
        <f>(C55*0.2)+(D55*0.2)+(E55*0.2)+(F55*0.2)+(G10*0.2)</f>
        <v>2.58</v>
      </c>
      <c r="I55" s="15"/>
    </row>
    <row r="56" spans="2:9" x14ac:dyDescent="0.35">
      <c r="B56" s="9" t="s">
        <v>10</v>
      </c>
      <c r="C56" s="3">
        <v>3</v>
      </c>
      <c r="D56" s="3">
        <v>3.2</v>
      </c>
      <c r="E56" s="3">
        <v>3</v>
      </c>
      <c r="F56" s="3">
        <v>3.2</v>
      </c>
      <c r="G56" s="3">
        <v>3.3</v>
      </c>
      <c r="H56" s="10">
        <f>(C56*0.2)+(D56*0.2)+(E56*0.2)+(F56*0.2)+(G11*0.2)</f>
        <v>3.4800000000000004</v>
      </c>
      <c r="I56" s="15"/>
    </row>
    <row r="57" spans="2:9" x14ac:dyDescent="0.35">
      <c r="B57" s="9" t="s">
        <v>11</v>
      </c>
      <c r="C57" s="3">
        <v>4.3</v>
      </c>
      <c r="D57" s="3">
        <v>4.4000000000000004</v>
      </c>
      <c r="E57" s="3">
        <v>4.2</v>
      </c>
      <c r="F57" s="3">
        <v>4.0999999999999996</v>
      </c>
      <c r="G57" s="3">
        <v>4.5</v>
      </c>
      <c r="H57" s="10">
        <f>(C57*0.2)+(D57*0.2)+(E57*0.2)+(F57*0.2)+(G12*0.2)</f>
        <v>4.18</v>
      </c>
      <c r="I57" s="15"/>
    </row>
    <row r="58" spans="2:9" x14ac:dyDescent="0.35">
      <c r="B58" s="9" t="s">
        <v>12</v>
      </c>
      <c r="C58" s="3">
        <v>3.6</v>
      </c>
      <c r="D58" s="3">
        <v>3.4</v>
      </c>
      <c r="E58" s="3">
        <v>3.7</v>
      </c>
      <c r="F58" s="3">
        <v>3.3</v>
      </c>
      <c r="G58" s="3">
        <v>3.8</v>
      </c>
      <c r="H58" s="10">
        <f>(C58*0.2)+(D58*0.2)+(E58*0.2)+(F58*0.2)+(G13*0.2)</f>
        <v>3.2800000000000002</v>
      </c>
      <c r="I58" s="15"/>
    </row>
    <row r="59" spans="2:9" x14ac:dyDescent="0.35">
      <c r="B59" s="9" t="s">
        <v>13</v>
      </c>
      <c r="C59" s="3">
        <v>1.5</v>
      </c>
      <c r="D59" s="3">
        <v>1.4</v>
      </c>
      <c r="E59" s="3">
        <v>1.6</v>
      </c>
      <c r="F59" s="3">
        <v>1.3</v>
      </c>
      <c r="G59" s="3">
        <v>1.7</v>
      </c>
      <c r="H59" s="10">
        <f>(C59*0.2)+(D59*0.2)+(E59*0.2)+(F59*0.2)+(G14*0.2)</f>
        <v>2.1</v>
      </c>
      <c r="I59" s="15"/>
    </row>
    <row r="60" spans="2:9" x14ac:dyDescent="0.35">
      <c r="B60" s="9" t="s">
        <v>14</v>
      </c>
      <c r="C60" s="3">
        <v>3.6</v>
      </c>
      <c r="D60" s="3">
        <v>3.4</v>
      </c>
      <c r="E60" s="3">
        <v>3.7</v>
      </c>
      <c r="F60" s="3">
        <v>3.3</v>
      </c>
      <c r="G60" s="3">
        <v>3.8</v>
      </c>
      <c r="H60" s="10">
        <f>(C60*0.2)+(D60*0.2)+(E60*0.2)+(F60*0.2)+(G15*0.2)</f>
        <v>3.3000000000000003</v>
      </c>
      <c r="I60" s="15"/>
    </row>
    <row r="61" spans="2:9" x14ac:dyDescent="0.35">
      <c r="B61" s="9" t="s">
        <v>15</v>
      </c>
      <c r="C61" s="3">
        <v>1.5</v>
      </c>
      <c r="D61" s="3">
        <v>1.6</v>
      </c>
      <c r="E61" s="3">
        <v>1.5</v>
      </c>
      <c r="F61" s="3">
        <v>1.4</v>
      </c>
      <c r="G61" s="3">
        <v>1.7</v>
      </c>
      <c r="H61" s="10">
        <f>(C61*0.2)+(D61*0.2)+(E61*0.2)+(F61*0.2)+(G16*0.2)</f>
        <v>1.9400000000000004</v>
      </c>
      <c r="I61" s="15"/>
    </row>
    <row r="62" spans="2:9" x14ac:dyDescent="0.35">
      <c r="B62" s="9" t="s">
        <v>16</v>
      </c>
      <c r="C62" s="3">
        <v>3</v>
      </c>
      <c r="D62" s="3">
        <v>3.2</v>
      </c>
      <c r="E62" s="3">
        <v>3</v>
      </c>
      <c r="F62" s="3">
        <v>3.1</v>
      </c>
      <c r="G62" s="3">
        <v>3.3</v>
      </c>
      <c r="H62" s="10">
        <f>(C62*0.2)+(D62*0.2)+(E62*0.2)+(F62*0.2)+(G17*0.2)</f>
        <v>2.9800000000000004</v>
      </c>
      <c r="I62" s="15"/>
    </row>
    <row r="63" spans="2:9" x14ac:dyDescent="0.35">
      <c r="B63" s="9" t="s">
        <v>17</v>
      </c>
      <c r="C63" s="3">
        <v>1.6</v>
      </c>
      <c r="D63" s="3">
        <v>1.5</v>
      </c>
      <c r="E63" s="3">
        <v>1.7</v>
      </c>
      <c r="F63" s="3">
        <v>1.5</v>
      </c>
      <c r="G63" s="3">
        <v>1.7</v>
      </c>
      <c r="H63" s="10">
        <f>(C63*0.2)+(D63*0.2)+(E63*0.2)+(F63*0.2)+(G18*0.2)</f>
        <v>2.04</v>
      </c>
      <c r="I63" s="15"/>
    </row>
    <row r="64" spans="2:9" x14ac:dyDescent="0.35">
      <c r="B64" s="9" t="s">
        <v>18</v>
      </c>
      <c r="C64" s="3">
        <v>2.5</v>
      </c>
      <c r="D64" s="3">
        <v>2.4</v>
      </c>
      <c r="E64" s="3">
        <v>2.6</v>
      </c>
      <c r="F64" s="3">
        <v>2.2999999999999998</v>
      </c>
      <c r="G64" s="3">
        <v>2.7</v>
      </c>
      <c r="H64" s="10">
        <f>(C64*0.2)+(D64*0.2)+(E64*0.2)+(F64*0.2)+(G19*0.2)</f>
        <v>2.7199999999999998</v>
      </c>
      <c r="I64" s="15"/>
    </row>
    <row r="65" spans="2:9" x14ac:dyDescent="0.35">
      <c r="B65" s="9" t="s">
        <v>19</v>
      </c>
      <c r="C65" s="3">
        <v>2.6</v>
      </c>
      <c r="D65" s="3">
        <v>2.5</v>
      </c>
      <c r="E65" s="3">
        <v>2.7</v>
      </c>
      <c r="F65" s="3">
        <v>2.4</v>
      </c>
      <c r="G65" s="3">
        <v>2.8</v>
      </c>
      <c r="H65" s="10">
        <f>(C65*0.2)+(D65*0.2)+(E65*0.2)+(F65*0.2)+(G20*0.2)</f>
        <v>3.04</v>
      </c>
      <c r="I65" s="15"/>
    </row>
    <row r="66" spans="2:9" x14ac:dyDescent="0.35">
      <c r="B66" s="9" t="s">
        <v>20</v>
      </c>
      <c r="C66" s="3">
        <v>4.8</v>
      </c>
      <c r="D66" s="3">
        <v>5</v>
      </c>
      <c r="E66" s="3">
        <v>5</v>
      </c>
      <c r="F66" s="3">
        <v>4.8</v>
      </c>
      <c r="G66" s="3">
        <v>5</v>
      </c>
      <c r="H66" s="10">
        <f>(C66*0.2)+(D66*0.2)+(E66*0.2)+(F66*0.2)+(G21*0.2)</f>
        <v>4.68</v>
      </c>
      <c r="I66" s="15"/>
    </row>
    <row r="67" spans="2:9" x14ac:dyDescent="0.35">
      <c r="B67" s="9" t="s">
        <v>21</v>
      </c>
      <c r="C67" s="3">
        <v>3</v>
      </c>
      <c r="D67" s="3">
        <v>3.2</v>
      </c>
      <c r="E67" s="3">
        <v>3</v>
      </c>
      <c r="F67" s="3">
        <v>3.1</v>
      </c>
      <c r="G67" s="3">
        <v>3.3</v>
      </c>
      <c r="H67" s="10">
        <f>(C67*0.2)+(D67*0.2)+(E67*0.2)+(F67*0.2)+(G22*0.2)</f>
        <v>3.2000000000000006</v>
      </c>
      <c r="I67" s="15"/>
    </row>
    <row r="68" spans="2:9" x14ac:dyDescent="0.35">
      <c r="B68" s="9" t="s">
        <v>22</v>
      </c>
      <c r="C68" s="3">
        <v>3.3</v>
      </c>
      <c r="D68" s="3">
        <v>3.1</v>
      </c>
      <c r="E68" s="3">
        <v>3.4</v>
      </c>
      <c r="F68" s="3">
        <v>3</v>
      </c>
      <c r="G68" s="3">
        <v>3.5</v>
      </c>
      <c r="H68" s="10">
        <f>(C68*0.2)+(D68*0.2)+(E68*0.2)+(F68*0.2)+(G23*0.2)</f>
        <v>3.2800000000000007</v>
      </c>
      <c r="I68" s="15"/>
    </row>
    <row r="69" spans="2:9" x14ac:dyDescent="0.35">
      <c r="B69" s="9" t="s">
        <v>23</v>
      </c>
      <c r="C69" s="3">
        <v>3.4</v>
      </c>
      <c r="D69" s="3">
        <v>3.2</v>
      </c>
      <c r="E69" s="3">
        <v>3.5</v>
      </c>
      <c r="F69" s="3">
        <v>3</v>
      </c>
      <c r="G69" s="3">
        <v>3.6</v>
      </c>
      <c r="H69" s="10">
        <f>(C69*0.2)+(D69*0.2)+(E69*0.2)+(F69*0.2)+(G24*0.2)</f>
        <v>3.6200000000000006</v>
      </c>
      <c r="I69" s="15"/>
    </row>
    <row r="70" spans="2:9" x14ac:dyDescent="0.35">
      <c r="B70" s="9" t="s">
        <v>24</v>
      </c>
      <c r="C70" s="3">
        <v>5</v>
      </c>
      <c r="D70" s="3">
        <v>5</v>
      </c>
      <c r="E70" s="3">
        <v>4.9000000000000004</v>
      </c>
      <c r="F70" s="3">
        <v>5</v>
      </c>
      <c r="G70" s="3">
        <v>5</v>
      </c>
      <c r="H70" s="10">
        <f>(C70*0.2)+(D70*0.2)+(E70*0.2)+(F70*0.2)+(G25*0.2)</f>
        <v>4.5199999999999996</v>
      </c>
      <c r="I70" s="15"/>
    </row>
    <row r="71" spans="2:9" x14ac:dyDescent="0.35">
      <c r="B71" s="9" t="s">
        <v>25</v>
      </c>
      <c r="C71" s="3">
        <v>3</v>
      </c>
      <c r="D71" s="3">
        <v>3.2</v>
      </c>
      <c r="E71" s="3">
        <v>3</v>
      </c>
      <c r="F71" s="3">
        <v>3.1</v>
      </c>
      <c r="G71" s="3">
        <v>3.3</v>
      </c>
      <c r="H71" s="10">
        <f>(C71*0.2)+(D71*0.2)+(E71*0.2)+(F71*0.2)+(G26*0.2)</f>
        <v>2.4600000000000004</v>
      </c>
      <c r="I71" s="15"/>
    </row>
    <row r="72" spans="2:9" x14ac:dyDescent="0.35">
      <c r="B72" s="1"/>
      <c r="C72" s="6"/>
      <c r="D72" s="6"/>
      <c r="E72" s="6"/>
      <c r="F72" s="6"/>
      <c r="G72" s="6"/>
      <c r="H72" s="10"/>
      <c r="I72" s="15"/>
    </row>
    <row r="73" spans="2:9" x14ac:dyDescent="0.35">
      <c r="B73" s="1"/>
      <c r="C73" s="6"/>
      <c r="D73" s="6"/>
      <c r="E73" s="6"/>
      <c r="F73" s="6"/>
      <c r="G73" s="6"/>
    </row>
    <row r="74" spans="2:9" x14ac:dyDescent="0.35">
      <c r="B74" s="1"/>
      <c r="C74" s="12"/>
      <c r="D74" s="12"/>
      <c r="E74" s="12"/>
      <c r="F74" s="12"/>
      <c r="G74" s="12"/>
      <c r="H74" s="11"/>
      <c r="I74" s="12"/>
    </row>
    <row r="75" spans="2:9" x14ac:dyDescent="0.35">
      <c r="B75" s="1"/>
      <c r="C75" s="6"/>
      <c r="D75" s="6"/>
      <c r="E75" s="3"/>
      <c r="F75" s="6"/>
      <c r="G75" s="6"/>
      <c r="H75" s="10"/>
      <c r="I75" s="15"/>
    </row>
    <row r="76" spans="2:9" x14ac:dyDescent="0.35">
      <c r="B76" s="1"/>
      <c r="C76" s="3"/>
      <c r="D76" s="3"/>
      <c r="E76" s="3"/>
      <c r="F76" s="3"/>
      <c r="G76" s="3"/>
      <c r="H76" s="10"/>
      <c r="I76" s="15"/>
    </row>
    <row r="77" spans="2:9" x14ac:dyDescent="0.35">
      <c r="B77" s="1"/>
      <c r="C77" s="3"/>
      <c r="D77" s="3"/>
      <c r="E77" s="3"/>
      <c r="F77" s="3"/>
      <c r="G77" s="3"/>
      <c r="H77" s="10"/>
      <c r="I77" s="15"/>
    </row>
    <row r="78" spans="2:9" x14ac:dyDescent="0.35">
      <c r="B78" s="1"/>
      <c r="C78" s="3"/>
      <c r="D78" s="3"/>
      <c r="E78" s="3"/>
      <c r="F78" s="3"/>
      <c r="G78" s="3"/>
      <c r="H78" s="10"/>
      <c r="I78" s="15"/>
    </row>
    <row r="79" spans="2:9" x14ac:dyDescent="0.35">
      <c r="B79" s="1"/>
      <c r="C79" s="3"/>
      <c r="D79" s="3"/>
      <c r="E79" s="3"/>
      <c r="F79" s="3"/>
      <c r="G79" s="3"/>
      <c r="H79" s="10"/>
      <c r="I79" s="15"/>
    </row>
    <row r="80" spans="2:9" x14ac:dyDescent="0.35">
      <c r="B80" s="1"/>
      <c r="C80" s="3"/>
      <c r="D80" s="3"/>
      <c r="E80" s="3"/>
      <c r="F80" s="3"/>
      <c r="G80" s="3"/>
      <c r="H80" s="10"/>
      <c r="I80" s="15"/>
    </row>
    <row r="81" spans="2:13" x14ac:dyDescent="0.35">
      <c r="B81" s="1"/>
      <c r="C81" s="3"/>
      <c r="D81" s="3"/>
      <c r="E81" s="3"/>
      <c r="F81" s="3"/>
      <c r="G81" s="3"/>
      <c r="H81" s="10"/>
      <c r="I81" s="15"/>
    </row>
    <row r="82" spans="2:13" x14ac:dyDescent="0.35">
      <c r="B82" s="1"/>
      <c r="C82" s="3"/>
      <c r="D82" s="3"/>
      <c r="E82" s="3"/>
      <c r="F82" s="3"/>
      <c r="G82" s="3"/>
      <c r="H82" s="10"/>
      <c r="I82" s="15"/>
    </row>
    <row r="83" spans="2:13" x14ac:dyDescent="0.35">
      <c r="B83" s="1"/>
      <c r="C83" s="3"/>
      <c r="D83" s="3"/>
      <c r="E83" s="3"/>
      <c r="F83" s="3"/>
      <c r="G83" s="3"/>
      <c r="H83" s="10"/>
      <c r="I83" s="15"/>
    </row>
    <row r="84" spans="2:13" x14ac:dyDescent="0.35">
      <c r="B84" s="1"/>
      <c r="C84" s="3"/>
      <c r="D84" s="3"/>
      <c r="E84" s="3"/>
      <c r="F84" s="3"/>
      <c r="G84" s="3"/>
      <c r="H84" s="10"/>
      <c r="I84" s="15"/>
    </row>
    <row r="85" spans="2:13" x14ac:dyDescent="0.35">
      <c r="B85" s="1"/>
      <c r="C85" s="3"/>
      <c r="D85" s="3"/>
      <c r="E85" s="3"/>
      <c r="F85" s="3"/>
      <c r="G85" s="3"/>
      <c r="H85" s="10"/>
      <c r="I85" s="15"/>
    </row>
    <row r="86" spans="2:13" x14ac:dyDescent="0.35">
      <c r="B86" s="1"/>
      <c r="C86" s="3"/>
      <c r="D86" s="3"/>
      <c r="E86" s="3"/>
      <c r="F86" s="3"/>
      <c r="G86" s="3"/>
      <c r="H86" s="10"/>
      <c r="I86" s="15"/>
    </row>
    <row r="87" spans="2:13" x14ac:dyDescent="0.35">
      <c r="B87" s="1"/>
      <c r="C87" s="3"/>
      <c r="D87" s="3"/>
      <c r="E87" s="3"/>
      <c r="F87" s="3"/>
      <c r="G87" s="3"/>
      <c r="H87" s="10"/>
      <c r="I87" s="15"/>
    </row>
    <row r="88" spans="2:13" x14ac:dyDescent="0.35">
      <c r="B88" s="1"/>
      <c r="C88" s="3"/>
      <c r="D88" s="3"/>
      <c r="E88" s="3"/>
      <c r="F88" s="3"/>
      <c r="G88" s="3"/>
      <c r="H88" s="10"/>
      <c r="I88" s="15"/>
    </row>
    <row r="89" spans="2:13" x14ac:dyDescent="0.35">
      <c r="B89" s="1"/>
      <c r="C89" s="3"/>
      <c r="D89" s="3"/>
      <c r="E89" s="3"/>
      <c r="F89" s="3"/>
      <c r="G89" s="3"/>
      <c r="H89" s="10"/>
      <c r="I89" s="15"/>
    </row>
    <row r="90" spans="2:13" x14ac:dyDescent="0.35">
      <c r="B90" s="1"/>
      <c r="C90" s="3"/>
      <c r="D90" s="3"/>
      <c r="E90" s="3"/>
      <c r="F90" s="3"/>
      <c r="G90" s="3"/>
      <c r="H90" s="10"/>
      <c r="I90" s="15"/>
    </row>
    <row r="91" spans="2:13" x14ac:dyDescent="0.35">
      <c r="B91" s="1"/>
      <c r="C91" s="3"/>
      <c r="D91" s="3"/>
      <c r="E91" s="3"/>
      <c r="F91" s="3"/>
      <c r="G91" s="3"/>
      <c r="H91" s="10"/>
      <c r="I91" s="15"/>
    </row>
    <row r="92" spans="2:13" x14ac:dyDescent="0.35">
      <c r="B92" s="1"/>
      <c r="C92" s="3"/>
      <c r="D92" s="3"/>
      <c r="E92" s="3"/>
      <c r="F92" s="3"/>
      <c r="G92" s="3"/>
      <c r="H92" s="10"/>
      <c r="I92" s="15"/>
    </row>
    <row r="93" spans="2:13" x14ac:dyDescent="0.35">
      <c r="B93" s="1"/>
      <c r="C93" s="3"/>
      <c r="D93" s="3"/>
      <c r="E93" s="3"/>
      <c r="F93" s="3"/>
      <c r="G93" s="3"/>
      <c r="H93" s="10"/>
      <c r="I93" s="15"/>
    </row>
    <row r="94" spans="2:13" x14ac:dyDescent="0.35">
      <c r="B94" s="1"/>
      <c r="C94" s="3"/>
      <c r="D94" s="3"/>
      <c r="E94" s="3"/>
      <c r="F94" s="3"/>
      <c r="G94" s="3"/>
      <c r="H94" s="10"/>
      <c r="I94" s="15"/>
    </row>
    <row r="95" spans="2:13" x14ac:dyDescent="0.35">
      <c r="B95" s="1"/>
      <c r="C95" s="3"/>
      <c r="D95" s="3"/>
      <c r="E95" s="3"/>
      <c r="F95" s="3"/>
      <c r="G95" s="3"/>
      <c r="H95" s="10"/>
      <c r="I95" s="15"/>
    </row>
    <row r="96" spans="2:13" x14ac:dyDescent="0.35">
      <c r="C96" s="3"/>
      <c r="D96" s="3"/>
      <c r="E96" s="3"/>
      <c r="F96" s="3"/>
      <c r="G96" s="3"/>
      <c r="H96" s="10"/>
      <c r="I96" s="15"/>
      <c r="M96" s="4"/>
    </row>
    <row r="97" spans="8:9" x14ac:dyDescent="0.35">
      <c r="H97" s="10"/>
      <c r="I97" s="15"/>
    </row>
    <row r="98" spans="8:9" x14ac:dyDescent="0.35">
      <c r="H98" s="10"/>
      <c r="I98" s="15"/>
    </row>
    <row r="99" spans="8:9" x14ac:dyDescent="0.35">
      <c r="H99" s="10"/>
      <c r="I99" s="15"/>
    </row>
    <row r="100" spans="8:9" x14ac:dyDescent="0.35">
      <c r="H100" s="10"/>
      <c r="I100" s="15"/>
    </row>
    <row r="101" spans="8:9" x14ac:dyDescent="0.35">
      <c r="H101" s="10"/>
      <c r="I101" s="15"/>
    </row>
    <row r="102" spans="8:9" x14ac:dyDescent="0.35">
      <c r="H102" s="10"/>
      <c r="I102" s="15"/>
    </row>
    <row r="103" spans="8:9" x14ac:dyDescent="0.35">
      <c r="H103" s="10"/>
      <c r="I103" s="15"/>
    </row>
    <row r="104" spans="8:9" x14ac:dyDescent="0.35">
      <c r="H104" s="10"/>
      <c r="I104" s="15"/>
    </row>
    <row r="105" spans="8:9" x14ac:dyDescent="0.35">
      <c r="H105" s="10"/>
      <c r="I105" s="15"/>
    </row>
    <row r="106" spans="8:9" x14ac:dyDescent="0.35">
      <c r="H106" s="10"/>
      <c r="I106" s="15"/>
    </row>
    <row r="107" spans="8:9" x14ac:dyDescent="0.35">
      <c r="H107" s="10"/>
      <c r="I107" s="15"/>
    </row>
    <row r="108" spans="8:9" x14ac:dyDescent="0.35">
      <c r="H108" s="10"/>
      <c r="I108" s="15"/>
    </row>
    <row r="109" spans="8:9" x14ac:dyDescent="0.35">
      <c r="H109" s="10"/>
      <c r="I109" s="15"/>
    </row>
    <row r="110" spans="8:9" x14ac:dyDescent="0.35">
      <c r="H110" s="10"/>
      <c r="I110" s="15"/>
    </row>
    <row r="111" spans="8:9" x14ac:dyDescent="0.35">
      <c r="H111" s="10"/>
      <c r="I111" s="15"/>
    </row>
    <row r="112" spans="8:9" x14ac:dyDescent="0.35">
      <c r="H112" s="10"/>
      <c r="I112" s="15"/>
    </row>
    <row r="113" spans="8:9" x14ac:dyDescent="0.35">
      <c r="H113" s="10"/>
      <c r="I113" s="15"/>
    </row>
    <row r="114" spans="8:9" x14ac:dyDescent="0.35">
      <c r="H114" s="10"/>
      <c r="I114" s="15"/>
    </row>
    <row r="115" spans="8:9" x14ac:dyDescent="0.35">
      <c r="H115" s="10"/>
      <c r="I115" s="15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ANDRES GALINDO</dc:creator>
  <cp:lastModifiedBy>MARIA PAULA ZAMBRANO MARTINEZ</cp:lastModifiedBy>
  <dcterms:created xsi:type="dcterms:W3CDTF">2025-04-10T21:17:59Z</dcterms:created>
  <dcterms:modified xsi:type="dcterms:W3CDTF">2026-04-26T06:10:32Z</dcterms:modified>
</cp:coreProperties>
</file>