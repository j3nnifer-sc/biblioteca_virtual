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c4r\OneDrive\Escritorio\"/>
    </mc:Choice>
  </mc:AlternateContent>
  <xr:revisionPtr revIDLastSave="0" documentId="13_ncr:1_{1CBA888C-9B83-4C95-ADC0-05A26978D3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imar CostosxHora" sheetId="1" r:id="rId1"/>
    <sheet name="Estimar por puntos de historia" sheetId="2" r:id="rId2"/>
    <sheet name="Presupuesto" sheetId="3" r:id="rId3"/>
    <sheet name="costo por recurso o punto de 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J913gI7x+0hh/syGPOB+2+rjAQSyB1uR2K54YWdK3w="/>
    </ext>
  </extLst>
</workbook>
</file>

<file path=xl/calcChain.xml><?xml version="1.0" encoding="utf-8"?>
<calcChain xmlns="http://schemas.openxmlformats.org/spreadsheetml/2006/main">
  <c r="M3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P3" i="1"/>
  <c r="L3" i="1"/>
  <c r="K3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C26" i="4"/>
  <c r="C27" i="4"/>
  <c r="G39" i="2"/>
  <c r="G37" i="2"/>
  <c r="G46" i="2"/>
  <c r="G44" i="2"/>
  <c r="G42" i="2"/>
  <c r="G34" i="2"/>
  <c r="G32" i="2"/>
  <c r="G30" i="2"/>
  <c r="G28" i="2"/>
  <c r="G26" i="2"/>
  <c r="G24" i="2"/>
  <c r="G20" i="2"/>
  <c r="G22" i="2"/>
  <c r="G6" i="2"/>
  <c r="G8" i="2"/>
  <c r="G10" i="2"/>
  <c r="G12" i="2"/>
  <c r="G14" i="2"/>
  <c r="G16" i="2"/>
  <c r="G18" i="2"/>
  <c r="G4" i="2"/>
  <c r="G48" i="2" s="1"/>
  <c r="E20" i="3"/>
  <c r="D11" i="3"/>
  <c r="D12" i="3"/>
  <c r="E12" i="3" s="1"/>
  <c r="F12" i="3" s="1"/>
  <c r="G12" i="3" s="1"/>
  <c r="P4" i="1" s="1"/>
  <c r="D10" i="3"/>
  <c r="E10" i="3" l="1"/>
  <c r="F10" i="3" s="1"/>
  <c r="G10" i="3" s="1"/>
  <c r="H12" i="3"/>
  <c r="B24" i="4"/>
  <c r="C22" i="4"/>
  <c r="C21" i="4"/>
  <c r="C20" i="4"/>
  <c r="C19" i="4"/>
  <c r="C24" i="4" s="1"/>
  <c r="C17" i="4"/>
  <c r="B17" i="4"/>
  <c r="C15" i="4"/>
  <c r="C14" i="4"/>
  <c r="C13" i="4"/>
  <c r="C12" i="4"/>
  <c r="C10" i="4"/>
  <c r="B31" i="3"/>
  <c r="E22" i="3"/>
  <c r="E21" i="3"/>
  <c r="B13" i="3"/>
  <c r="E11" i="3"/>
  <c r="F11" i="3" s="1"/>
  <c r="H11" i="3" s="1"/>
  <c r="Q27" i="1"/>
  <c r="Q26" i="1"/>
  <c r="Q24" i="1"/>
  <c r="Q23" i="1"/>
  <c r="Q22" i="1"/>
  <c r="Q21" i="1"/>
  <c r="Q20" i="1"/>
  <c r="Q18" i="1"/>
  <c r="Q17" i="1"/>
  <c r="Q16" i="1"/>
  <c r="Q15" i="1"/>
  <c r="Q14" i="1"/>
  <c r="Q12" i="1"/>
  <c r="Q11" i="1"/>
  <c r="Q8" i="1"/>
  <c r="Q6" i="1"/>
  <c r="Q5" i="1"/>
  <c r="Q4" i="1"/>
  <c r="Q3" i="1"/>
  <c r="B35" i="3" l="1"/>
  <c r="H10" i="3"/>
  <c r="E23" i="3"/>
  <c r="B34" i="3" s="1"/>
  <c r="Q25" i="1"/>
  <c r="Q19" i="1"/>
  <c r="R16" i="1" s="1"/>
  <c r="Q13" i="1"/>
  <c r="Q10" i="1"/>
  <c r="Q9" i="1"/>
  <c r="Q7" i="1"/>
  <c r="C28" i="4"/>
  <c r="G11" i="3"/>
  <c r="R3" i="1" l="1"/>
  <c r="H13" i="3"/>
  <c r="H14" i="3" l="1"/>
  <c r="B33" i="3" s="1"/>
  <c r="B36" i="3" s="1"/>
  <c r="B35" i="4"/>
  <c r="B36" i="4" s="1"/>
  <c r="B37" i="4" s="1"/>
  <c r="B37" i="3" l="1"/>
  <c r="B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8" authorId="0" shapeId="0" xr:uid="{00000000-0006-0000-0200-000001000000}">
      <text>
        <r>
          <rPr>
            <sz val="11"/>
            <color rgb="FF000000"/>
            <rFont val="Calibri"/>
            <family val="2"/>
          </rPr>
          <t xml:space="preserve">Probabilidad de aumento de costo de algún equipo o producto requerido. En este sentido, en la planificación se identificó el riesgo que, el precio del equipo o producto podría subir, y se reservó cierto monto para cubrirlo.
</t>
        </r>
        <r>
          <rPr>
            <sz val="11"/>
            <color rgb="FF000000"/>
            <rFont val="Calibri"/>
            <family val="2"/>
          </rPr>
          <t>======</t>
        </r>
      </text>
    </comment>
    <comment ref="B33" authorId="0" shapeId="0" xr:uid="{00000000-0006-0000-0200-000002000000}">
      <text>
        <r>
          <rPr>
            <sz val="11"/>
            <color rgb="FF000000"/>
            <rFont val="Calibri"/>
            <family val="2"/>
          </rPr>
          <t xml:space="preserve">Se puede usar el valor obtenido de los paquetes de trabajo o módulos, en vez de la tabla de la nómina cuando se ha calculado el costo de la hora por recurso
</t>
        </r>
        <r>
          <rPr>
            <sz val="11"/>
            <color rgb="FF000000"/>
            <rFont val="Calibri"/>
            <family val="2"/>
          </rPr>
          <t>======</t>
        </r>
      </text>
    </comment>
    <comment ref="A36" authorId="0" shapeId="0" xr:uid="{00000000-0006-0000-0200-000003000000}">
      <text>
        <r>
          <rPr>
            <sz val="11"/>
            <color rgb="FF000000"/>
            <rFont val="Calibri"/>
            <family val="2"/>
          </rPr>
          <t xml:space="preserve">Puede estar entre el 5 y 10 % del costo total del proyecto.
</t>
        </r>
        <r>
          <rPr>
            <sz val="11"/>
            <color rgb="FF000000"/>
            <rFont val="Calibri"/>
            <family val="2"/>
          </rPr>
          <t xml:space="preserve">Para lo que se llama imprevistos, riesgos no conocidos.
</t>
        </r>
        <r>
          <rPr>
            <sz val="11"/>
            <color rgb="FF000000"/>
            <rFont val="Calibri"/>
            <family val="2"/>
          </rPr>
          <t xml:space="preserve">Por ejemplo:
</t>
        </r>
        <r>
          <rPr>
            <sz val="11"/>
            <color rgb="FF000000"/>
            <rFont val="Calibri"/>
            <family val="2"/>
          </rPr>
          <t xml:space="preserve">10% del valor del proyecto para enfrentar posibles problemas técnicos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======</t>
        </r>
      </text>
    </comment>
  </commentList>
</comments>
</file>

<file path=xl/sharedStrings.xml><?xml version="1.0" encoding="utf-8"?>
<sst xmlns="http://schemas.openxmlformats.org/spreadsheetml/2006/main" count="238" uniqueCount="185">
  <si>
    <t xml:space="preserve">PLANTILLA DE AYUDA PARA COSTOS  </t>
  </si>
  <si>
    <t>PLANTILLA COSTOS</t>
  </si>
  <si>
    <t>Módulo / Épica</t>
  </si>
  <si>
    <t>Actividad /Tarea</t>
  </si>
  <si>
    <t>Tipo de recurso (Personal, Materiales, Equipo)</t>
  </si>
  <si>
    <t xml:space="preserve">Recursos </t>
  </si>
  <si>
    <t>Disponibilidad  de Cada Recurso ( Capacidad Maxima por día) (%,horas)</t>
  </si>
  <si>
    <t>0</t>
  </si>
  <si>
    <t>m</t>
  </si>
  <si>
    <t>p</t>
  </si>
  <si>
    <t>Esfuerzo (pert) horas</t>
  </si>
  <si>
    <t>Desviación (p-0)/6</t>
  </si>
  <si>
    <t>Duración de  actividad(esfuerzo en horas)</t>
  </si>
  <si>
    <t>Capacidad Máxima (% Horas¨dia)</t>
  </si>
  <si>
    <t>Disponibilidad Recurso Horas al dia</t>
  </si>
  <si>
    <t>Costo recurso por hora</t>
  </si>
  <si>
    <t>Costo por actividad</t>
  </si>
  <si>
    <t>costo por W.P</t>
  </si>
  <si>
    <t>Autenticación</t>
  </si>
  <si>
    <t>Registrar usuario nuevo</t>
  </si>
  <si>
    <t>Personal</t>
  </si>
  <si>
    <t>Equipo de desarrollo</t>
  </si>
  <si>
    <t>Contruir requisitos</t>
  </si>
  <si>
    <t>Product Owner</t>
  </si>
  <si>
    <t>Levantamiento de requerimientos</t>
  </si>
  <si>
    <t>Documentación de requisitos</t>
  </si>
  <si>
    <t>Diseño de interfaz</t>
  </si>
  <si>
    <t>Prototipado</t>
  </si>
  <si>
    <t>Ajustes de interfaz</t>
  </si>
  <si>
    <t>Programación backend</t>
  </si>
  <si>
    <t>Programación frontend</t>
  </si>
  <si>
    <t>Corrección de errores</t>
  </si>
  <si>
    <t>Integración de módulos</t>
  </si>
  <si>
    <t>Servidor</t>
  </si>
  <si>
    <t>Equipo</t>
  </si>
  <si>
    <t>Pruebas funcionales</t>
  </si>
  <si>
    <t>Pruebas de integración</t>
  </si>
  <si>
    <t>Herramientas testing</t>
  </si>
  <si>
    <t>Pruebas de usuario</t>
  </si>
  <si>
    <t>Configuración del sistema</t>
  </si>
  <si>
    <t>Despliegue</t>
  </si>
  <si>
    <t>Plataforma cloud</t>
  </si>
  <si>
    <t>Planificación del proyecto</t>
  </si>
  <si>
    <t xml:space="preserve">Scrum Master </t>
  </si>
  <si>
    <t>Seguimiento del proyecto</t>
  </si>
  <si>
    <t>Atención a usuarios</t>
  </si>
  <si>
    <t>Mantenimiento</t>
  </si>
  <si>
    <t>Diseño de base de datos</t>
  </si>
  <si>
    <t>Sofware de seguridad</t>
  </si>
  <si>
    <t>Administración de BD</t>
  </si>
  <si>
    <t>Auditoría de seguridad</t>
  </si>
  <si>
    <t>Implementación de seguridad</t>
  </si>
  <si>
    <t>Validación de requisitos</t>
  </si>
  <si>
    <t>PLANTILLA DE AYUDA PARA ESTIMACIÓN</t>
  </si>
  <si>
    <t>Costo punto de historia</t>
  </si>
  <si>
    <t>ACCESO</t>
  </si>
  <si>
    <t>US1</t>
  </si>
  <si>
    <t>RESERVAS</t>
  </si>
  <si>
    <t>US2</t>
  </si>
  <si>
    <t>CATÁLOGO</t>
  </si>
  <si>
    <t>US3</t>
  </si>
  <si>
    <t>US4</t>
  </si>
  <si>
    <t>US5</t>
  </si>
  <si>
    <t>MIS LIBROS</t>
  </si>
  <si>
    <t>US6</t>
  </si>
  <si>
    <t>US7</t>
  </si>
  <si>
    <t>MULTAS</t>
  </si>
  <si>
    <t>US8</t>
  </si>
  <si>
    <t>SOPORTE</t>
  </si>
  <si>
    <t>US9</t>
  </si>
  <si>
    <t>Formulario de contacto con bibliotecarios</t>
  </si>
  <si>
    <t>PERFIL</t>
  </si>
  <si>
    <t>US10</t>
  </si>
  <si>
    <t>GENERAL</t>
  </si>
  <si>
    <t>US11</t>
  </si>
  <si>
    <t>Contador general de recursos académicos</t>
  </si>
  <si>
    <t>PÚBLICO</t>
  </si>
  <si>
    <t>US12</t>
  </si>
  <si>
    <t>US13</t>
  </si>
  <si>
    <t>Resumen estadístico para visitantes</t>
  </si>
  <si>
    <t>ADM. USUARIOS</t>
  </si>
  <si>
    <t>US14</t>
  </si>
  <si>
    <t>Crear cuentas de usuario (Estudiantes)</t>
  </si>
  <si>
    <t>ADM. LIBROS</t>
  </si>
  <si>
    <t>US15</t>
  </si>
  <si>
    <t>Agregar nuevos títulos al catálogo</t>
  </si>
  <si>
    <t>ADM. PRÉSTAMO</t>
  </si>
  <si>
    <t>US16</t>
  </si>
  <si>
    <t>Asignar libros a estudiantes por ID</t>
  </si>
  <si>
    <t>ADM. PERMISOS</t>
  </si>
  <si>
    <t>US17</t>
  </si>
  <si>
    <t>Crear nuevas cuentas de administrador</t>
  </si>
  <si>
    <t>US18</t>
  </si>
  <si>
    <t>Eliminar cuentas de estudiantes</t>
  </si>
  <si>
    <t>US19</t>
  </si>
  <si>
    <t>Eliminar cuentas de administrador</t>
  </si>
  <si>
    <t>US20</t>
  </si>
  <si>
    <t>Registro de entrega física y stock</t>
  </si>
  <si>
    <t>REPORTES</t>
  </si>
  <si>
    <t>US21</t>
  </si>
  <si>
    <t>Estadísticas de inventario y pedidos</t>
  </si>
  <si>
    <t>INDEMNIZACIONES</t>
  </si>
  <si>
    <t>DURACIÓN DEL PROYECTO MESES</t>
  </si>
  <si>
    <t>RESERVA GERENCIAL</t>
  </si>
  <si>
    <t>HORAS A TRABAJAR POR MES</t>
  </si>
  <si>
    <t>Alternativa Esquema Actual</t>
  </si>
  <si>
    <t>NOMINA</t>
  </si>
  <si>
    <t>CARGO</t>
  </si>
  <si>
    <t>CANTIDAD</t>
  </si>
  <si>
    <t>SALARIO</t>
  </si>
  <si>
    <t>INCENTIVOS</t>
  </si>
  <si>
    <t>PRESTACIONES</t>
  </si>
  <si>
    <t>COSTO + INDEM</t>
  </si>
  <si>
    <t>COSTO HORA</t>
  </si>
  <si>
    <t>COSTO MENSUAL</t>
  </si>
  <si>
    <t xml:space="preserve"> </t>
  </si>
  <si>
    <t>Cantidad de personal</t>
  </si>
  <si>
    <t>ESTIMADO MENSUAL</t>
  </si>
  <si>
    <t xml:space="preserve"> TOTAL ESTIMADO PROYECTO</t>
  </si>
  <si>
    <t>OTROS COSTOS</t>
  </si>
  <si>
    <t>ITEM</t>
  </si>
  <si>
    <t>TIPO(Directo/Indirecto)</t>
  </si>
  <si>
    <t>COSTO  UNITARIO</t>
  </si>
  <si>
    <t>COSTO TOTAL</t>
  </si>
  <si>
    <t>Directo</t>
  </si>
  <si>
    <t xml:space="preserve">TOTAL OTROS COSTOS </t>
  </si>
  <si>
    <t>TIPO DE RESERVA CONTINGENCIA</t>
  </si>
  <si>
    <t>VALOR</t>
  </si>
  <si>
    <t>TOTAL DE LA RESERVA  CONTINGENCIA</t>
  </si>
  <si>
    <t>ESTIMADO RECURSO HUMANO</t>
  </si>
  <si>
    <t xml:space="preserve">COSTO DE LA RESERVA DE CONTINGENCIA </t>
  </si>
  <si>
    <t xml:space="preserve">COSTO DE RESERVA GERENCIAL (       5   %) </t>
  </si>
  <si>
    <t>UTILIDAD (%10)</t>
  </si>
  <si>
    <t xml:space="preserve">COSTO DEL PRESUPUESTO DEL PROYECTO </t>
  </si>
  <si>
    <t>Datos a tener en cuenta</t>
  </si>
  <si>
    <t>Salario mínimo 2024</t>
  </si>
  <si>
    <t>Subsidio de transporte</t>
  </si>
  <si>
    <t>Hasta dos salarios mínimos</t>
  </si>
  <si>
    <t>Inversión mensual por trabajador</t>
  </si>
  <si>
    <t>Concepto</t>
  </si>
  <si>
    <t>%</t>
  </si>
  <si>
    <t>Monto</t>
  </si>
  <si>
    <t>Horas trabajadas mensuales</t>
  </si>
  <si>
    <t>Salario base</t>
  </si>
  <si>
    <t>Salario Mensual</t>
  </si>
  <si>
    <t>Prima Legal</t>
  </si>
  <si>
    <t>Cesantias</t>
  </si>
  <si>
    <t>Intereses a las cesantias</t>
  </si>
  <si>
    <t>Vacaciones</t>
  </si>
  <si>
    <t>Total prestaciones</t>
  </si>
  <si>
    <t>Aportes a salud</t>
  </si>
  <si>
    <t>Aportes a pensión</t>
  </si>
  <si>
    <t>Parafiscales</t>
  </si>
  <si>
    <t>ARL Riesgo Administrativo</t>
  </si>
  <si>
    <t>Total Aportes</t>
  </si>
  <si>
    <t>Total Mensual</t>
  </si>
  <si>
    <t>Total Anual</t>
  </si>
  <si>
    <t>Total Hora</t>
  </si>
  <si>
    <t>Total puntos de historia proyecto</t>
  </si>
  <si>
    <t>Puntos de historia por mes</t>
  </si>
  <si>
    <t>Costo del equipo por mes</t>
  </si>
  <si>
    <t>Valor del punto de historia por mes</t>
  </si>
  <si>
    <t>Valor del esfuerzo</t>
  </si>
  <si>
    <t>US</t>
  </si>
  <si>
    <t>Visualización de saldos y multas</t>
  </si>
  <si>
    <t>Lista de libros actualmente prestados</t>
  </si>
  <si>
    <t>Visualización de fechas de devolución y alertas</t>
  </si>
  <si>
    <t>Inicio de sesión con credenciales</t>
  </si>
  <si>
    <t>Lógica de reserva de libros no disponibles</t>
  </si>
  <si>
    <t>Visualizar catálogo completo (título, autor, categoría)</t>
  </si>
  <si>
    <t>Puntos de historia</t>
  </si>
  <si>
    <t>Buscador en tiempo real por título/categoría</t>
  </si>
  <si>
    <t>Mostrar cantidad de ejemplares y estado de disponibilidad</t>
  </si>
  <si>
    <t>Eliminación de cuenta con validaciones (sin deudas)</t>
  </si>
  <si>
    <t>Catálogo público para visitantes (sin login)</t>
  </si>
  <si>
    <t>Desarrollador</t>
  </si>
  <si>
    <t>Scrum Master</t>
  </si>
  <si>
    <t>Costo historia de usuario</t>
  </si>
  <si>
    <t>Hosting.</t>
  </si>
  <si>
    <t>Tutoria con arquitecto de software.</t>
  </si>
  <si>
    <t>Dominio (.com)</t>
  </si>
  <si>
    <t>Fallas técnicas de los equipos durante los sprints.</t>
  </si>
  <si>
    <t>Cambio de precio en el hosting y dominio.</t>
  </si>
  <si>
    <t xml:space="preserve">Pequeños retrasos en el proyecto. </t>
  </si>
  <si>
    <t>TOTAL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</si>
</sst>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 &quot;$&quot;\ * #,##0_ ;_ &quot;$&quot;\ * \-#,##0_ ;_ &quot;$&quot;\ * &quot;-&quot;??_ ;_ @_ "/>
    <numFmt numFmtId="166" formatCode="_ * #,##0_ ;_ * \-#,##0_ ;_ * &quot;-&quot;??_ ;_ @_ "/>
    <numFmt numFmtId="167" formatCode="_ * #,##0.0_ ;_ * \-#,##0.0_ ;_ * &quot;-&quot;??_ ;_ @_ "/>
    <numFmt numFmtId="168" formatCode="0.000%"/>
    <numFmt numFmtId="169" formatCode="_([$$-409]* #,##0.00_);_([$$-409]* \(#,##0.00\);_([$$-409]* &quot;-&quot;??_);_(@_)"/>
    <numFmt numFmtId="170" formatCode="&quot;$&quot;#,##0.00"/>
    <numFmt numFmtId="171" formatCode="_-&quot;$&quot;\ * #,##0_-;\-&quot;$&quot;\ * #,##0_-;_-&quot;$&quot;\ * &quot;-&quot;??_-;_-@_-"/>
    <numFmt numFmtId="176" formatCode="0.000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9"/>
      <color rgb="FFFFFFFF"/>
      <name val="Calibri"/>
      <family val="2"/>
    </font>
    <font>
      <b/>
      <sz val="6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scheme val="minor"/>
    </font>
    <font>
      <sz val="10"/>
      <color theme="1"/>
      <name val="Calibri"/>
      <scheme val="minor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31859B"/>
        <bgColor rgb="FF31859B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0080"/>
        <bgColor rgb="FF000080"/>
      </patternFill>
    </fill>
    <fill>
      <patternFill patternType="solid">
        <fgColor rgb="FF808080"/>
        <bgColor rgb="FF808080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C2D69B"/>
        <bgColor rgb="FFC2D69B"/>
      </patternFill>
    </fill>
    <fill>
      <patternFill patternType="solid">
        <fgColor rgb="FFCFE2F3"/>
        <bgColor rgb="FFCFE2F3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9" fillId="0" borderId="0" applyFont="0" applyFill="0" applyBorder="0" applyAlignment="0" applyProtection="0"/>
  </cellStyleXfs>
  <cellXfs count="205">
    <xf numFmtId="0" fontId="0" fillId="0" borderId="0" xfId="0"/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5" borderId="6" xfId="0" applyNumberFormat="1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1" xfId="0" applyFont="1" applyBorder="1"/>
    <xf numFmtId="9" fontId="7" fillId="0" borderId="5" xfId="0" applyNumberFormat="1" applyFont="1" applyBorder="1"/>
    <xf numFmtId="0" fontId="8" fillId="0" borderId="5" xfId="0" applyFont="1" applyBorder="1"/>
    <xf numFmtId="4" fontId="8" fillId="0" borderId="5" xfId="0" applyNumberFormat="1" applyFont="1" applyBorder="1"/>
    <xf numFmtId="9" fontId="8" fillId="0" borderId="5" xfId="0" applyNumberFormat="1" applyFont="1" applyBorder="1"/>
    <xf numFmtId="2" fontId="8" fillId="0" borderId="5" xfId="0" applyNumberFormat="1" applyFont="1" applyBorder="1"/>
    <xf numFmtId="9" fontId="7" fillId="0" borderId="3" xfId="0" applyNumberFormat="1" applyFont="1" applyBorder="1"/>
    <xf numFmtId="0" fontId="7" fillId="0" borderId="10" xfId="0" applyFont="1" applyBorder="1"/>
    <xf numFmtId="9" fontId="7" fillId="0" borderId="10" xfId="0" applyNumberFormat="1" applyFont="1" applyBorder="1"/>
    <xf numFmtId="0" fontId="11" fillId="7" borderId="5" xfId="0" applyFont="1" applyFill="1" applyBorder="1"/>
    <xf numFmtId="9" fontId="12" fillId="8" borderId="5" xfId="0" applyNumberFormat="1" applyFont="1" applyFill="1" applyBorder="1"/>
    <xf numFmtId="165" fontId="12" fillId="8" borderId="14" xfId="0" applyNumberFormat="1" applyFont="1" applyFill="1" applyBorder="1"/>
    <xf numFmtId="0" fontId="8" fillId="8" borderId="14" xfId="0" applyFont="1" applyFill="1" applyBorder="1"/>
    <xf numFmtId="0" fontId="8" fillId="8" borderId="5" xfId="0" applyFont="1" applyFill="1" applyBorder="1"/>
    <xf numFmtId="0" fontId="13" fillId="10" borderId="21" xfId="0" applyFont="1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 wrapText="1"/>
    </xf>
    <xf numFmtId="0" fontId="13" fillId="10" borderId="24" xfId="0" applyFont="1" applyFill="1" applyBorder="1" applyAlignment="1">
      <alignment horizontal="center" vertical="center" wrapText="1"/>
    </xf>
    <xf numFmtId="0" fontId="12" fillId="8" borderId="25" xfId="0" applyFont="1" applyFill="1" applyBorder="1"/>
    <xf numFmtId="166" fontId="12" fillId="8" borderId="5" xfId="0" applyNumberFormat="1" applyFont="1" applyFill="1" applyBorder="1" applyAlignment="1">
      <alignment horizontal="center"/>
    </xf>
    <xf numFmtId="165" fontId="8" fillId="8" borderId="5" xfId="0" applyNumberFormat="1" applyFont="1" applyFill="1" applyBorder="1"/>
    <xf numFmtId="165" fontId="12" fillId="8" borderId="5" xfId="0" applyNumberFormat="1" applyFont="1" applyFill="1" applyBorder="1"/>
    <xf numFmtId="166" fontId="12" fillId="0" borderId="5" xfId="0" applyNumberFormat="1" applyFont="1" applyBorder="1"/>
    <xf numFmtId="166" fontId="12" fillId="0" borderId="1" xfId="0" applyNumberFormat="1" applyFont="1" applyBorder="1"/>
    <xf numFmtId="166" fontId="12" fillId="0" borderId="26" xfId="0" applyNumberFormat="1" applyFont="1" applyBorder="1"/>
    <xf numFmtId="0" fontId="12" fillId="0" borderId="25" xfId="0" applyFont="1" applyBorder="1" applyAlignment="1">
      <alignment wrapText="1"/>
    </xf>
    <xf numFmtId="0" fontId="12" fillId="0" borderId="5" xfId="0" applyFont="1" applyBorder="1" applyAlignment="1">
      <alignment wrapText="1"/>
    </xf>
    <xf numFmtId="167" fontId="12" fillId="0" borderId="5" xfId="0" applyNumberFormat="1" applyFont="1" applyBorder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5" fillId="0" borderId="5" xfId="0" applyFont="1" applyBorder="1" applyAlignment="1">
      <alignment horizontal="right"/>
    </xf>
    <xf numFmtId="166" fontId="15" fillId="0" borderId="5" xfId="0" applyNumberFormat="1" applyFont="1" applyBorder="1"/>
    <xf numFmtId="0" fontId="8" fillId="8" borderId="0" xfId="0" applyFont="1" applyFill="1"/>
    <xf numFmtId="0" fontId="13" fillId="10" borderId="2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/>
    </xf>
    <xf numFmtId="3" fontId="12" fillId="0" borderId="5" xfId="0" applyNumberFormat="1" applyFont="1" applyBorder="1"/>
    <xf numFmtId="3" fontId="12" fillId="0" borderId="5" xfId="0" applyNumberFormat="1" applyFont="1" applyBorder="1" applyAlignment="1">
      <alignment vertical="center"/>
    </xf>
    <xf numFmtId="0" fontId="12" fillId="8" borderId="25" xfId="0" applyFont="1" applyFill="1" applyBorder="1" applyAlignment="1">
      <alignment vertical="center" wrapText="1"/>
    </xf>
    <xf numFmtId="0" fontId="12" fillId="11" borderId="25" xfId="0" applyFont="1" applyFill="1" applyBorder="1" applyAlignment="1">
      <alignment horizontal="left" wrapText="1"/>
    </xf>
    <xf numFmtId="3" fontId="12" fillId="11" borderId="5" xfId="0" applyNumberFormat="1" applyFont="1" applyFill="1" applyBorder="1"/>
    <xf numFmtId="3" fontId="15" fillId="11" borderId="5" xfId="0" applyNumberFormat="1" applyFont="1" applyFill="1" applyBorder="1" applyAlignment="1">
      <alignment horizontal="right"/>
    </xf>
    <xf numFmtId="3" fontId="8" fillId="11" borderId="5" xfId="0" applyNumberFormat="1" applyFont="1" applyFill="1" applyBorder="1"/>
    <xf numFmtId="0" fontId="17" fillId="12" borderId="5" xfId="0" applyFont="1" applyFill="1" applyBorder="1" applyAlignment="1">
      <alignment horizontal="center"/>
    </xf>
    <xf numFmtId="0" fontId="17" fillId="12" borderId="5" xfId="0" applyFont="1" applyFill="1" applyBorder="1"/>
    <xf numFmtId="0" fontId="18" fillId="13" borderId="5" xfId="0" applyFont="1" applyFill="1" applyBorder="1"/>
    <xf numFmtId="0" fontId="18" fillId="14" borderId="5" xfId="0" applyFont="1" applyFill="1" applyBorder="1"/>
    <xf numFmtId="0" fontId="18" fillId="5" borderId="5" xfId="0" applyFont="1" applyFill="1" applyBorder="1"/>
    <xf numFmtId="0" fontId="19" fillId="15" borderId="5" xfId="0" applyFont="1" applyFill="1" applyBorder="1"/>
    <xf numFmtId="0" fontId="19" fillId="16" borderId="5" xfId="0" applyFont="1" applyFill="1" applyBorder="1"/>
    <xf numFmtId="0" fontId="8" fillId="0" borderId="0" xfId="0" applyFont="1"/>
    <xf numFmtId="0" fontId="16" fillId="17" borderId="14" xfId="0" applyFont="1" applyFill="1" applyBorder="1" applyAlignment="1">
      <alignment horizontal="center"/>
    </xf>
    <xf numFmtId="0" fontId="16" fillId="0" borderId="5" xfId="0" applyFont="1" applyBorder="1"/>
    <xf numFmtId="168" fontId="8" fillId="0" borderId="5" xfId="0" applyNumberFormat="1" applyFont="1" applyBorder="1"/>
    <xf numFmtId="10" fontId="8" fillId="0" borderId="5" xfId="0" applyNumberFormat="1" applyFont="1" applyBorder="1"/>
    <xf numFmtId="4" fontId="8" fillId="18" borderId="5" xfId="0" applyNumberFormat="1" applyFont="1" applyFill="1" applyBorder="1"/>
    <xf numFmtId="0" fontId="16" fillId="0" borderId="0" xfId="0" applyFont="1"/>
    <xf numFmtId="4" fontId="8" fillId="0" borderId="0" xfId="0" applyNumberFormat="1" applyFont="1"/>
    <xf numFmtId="0" fontId="16" fillId="19" borderId="5" xfId="0" applyFont="1" applyFill="1" applyBorder="1"/>
    <xf numFmtId="49" fontId="5" fillId="4" borderId="7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12" xfId="0" applyFont="1" applyBorder="1"/>
    <xf numFmtId="0" fontId="21" fillId="0" borderId="14" xfId="0" applyFont="1" applyBorder="1"/>
    <xf numFmtId="0" fontId="9" fillId="0" borderId="5" xfId="0" applyFont="1" applyBorder="1" applyAlignment="1">
      <alignment wrapText="1"/>
    </xf>
    <xf numFmtId="0" fontId="0" fillId="0" borderId="14" xfId="0" applyBorder="1"/>
    <xf numFmtId="9" fontId="20" fillId="0" borderId="12" xfId="0" applyNumberFormat="1" applyFont="1" applyBorder="1"/>
    <xf numFmtId="0" fontId="21" fillId="0" borderId="2" xfId="0" applyFont="1" applyBorder="1"/>
    <xf numFmtId="49" fontId="28" fillId="4" borderId="10" xfId="0" applyNumberFormat="1" applyFont="1" applyFill="1" applyBorder="1" applyAlignment="1">
      <alignment horizontal="center" vertical="center" wrapText="1"/>
    </xf>
    <xf numFmtId="49" fontId="28" fillId="4" borderId="14" xfId="0" applyNumberFormat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right"/>
    </xf>
    <xf numFmtId="0" fontId="23" fillId="0" borderId="0" xfId="0" applyFont="1" applyAlignment="1">
      <alignment horizontal="center"/>
    </xf>
    <xf numFmtId="171" fontId="8" fillId="0" borderId="5" xfId="1" applyNumberFormat="1" applyFont="1" applyBorder="1"/>
    <xf numFmtId="171" fontId="18" fillId="14" borderId="5" xfId="1" applyNumberFormat="1" applyFont="1" applyFill="1" applyBorder="1"/>
    <xf numFmtId="171" fontId="18" fillId="13" borderId="5" xfId="1" applyNumberFormat="1" applyFont="1" applyFill="1" applyBorder="1"/>
    <xf numFmtId="171" fontId="18" fillId="5" borderId="5" xfId="1" applyNumberFormat="1" applyFont="1" applyFill="1" applyBorder="1"/>
    <xf numFmtId="171" fontId="19" fillId="15" borderId="5" xfId="1" applyNumberFormat="1" applyFont="1" applyFill="1" applyBorder="1"/>
    <xf numFmtId="171" fontId="19" fillId="16" borderId="5" xfId="1" applyNumberFormat="1" applyFont="1" applyFill="1" applyBorder="1"/>
    <xf numFmtId="49" fontId="28" fillId="4" borderId="7" xfId="0" applyNumberFormat="1" applyFont="1" applyFill="1" applyBorder="1" applyAlignment="1">
      <alignment horizontal="center" vertical="center" wrapText="1"/>
    </xf>
    <xf numFmtId="49" fontId="28" fillId="4" borderId="33" xfId="0" applyNumberFormat="1" applyFont="1" applyFill="1" applyBorder="1" applyAlignment="1">
      <alignment horizontal="center" vertical="center" wrapText="1"/>
    </xf>
    <xf numFmtId="2" fontId="28" fillId="5" borderId="33" xfId="0" applyNumberFormat="1" applyFont="1" applyFill="1" applyBorder="1" applyAlignment="1">
      <alignment horizontal="center" vertical="center" wrapText="1"/>
    </xf>
    <xf numFmtId="164" fontId="28" fillId="5" borderId="33" xfId="0" applyNumberFormat="1" applyFont="1" applyFill="1" applyBorder="1" applyAlignment="1">
      <alignment horizontal="center" vertical="center" wrapText="1"/>
    </xf>
    <xf numFmtId="170" fontId="0" fillId="0" borderId="33" xfId="0" applyNumberFormat="1" applyBorder="1"/>
    <xf numFmtId="0" fontId="30" fillId="20" borderId="35" xfId="0" applyFont="1" applyFill="1" applyBorder="1" applyAlignment="1">
      <alignment horizontal="center"/>
    </xf>
    <xf numFmtId="0" fontId="30" fillId="20" borderId="33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wrapText="1"/>
    </xf>
    <xf numFmtId="0" fontId="27" fillId="0" borderId="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169" fontId="23" fillId="3" borderId="4" xfId="0" applyNumberFormat="1" applyFont="1" applyFill="1" applyBorder="1" applyAlignment="1">
      <alignment horizontal="center"/>
    </xf>
    <xf numFmtId="169" fontId="23" fillId="3" borderId="14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25" fillId="0" borderId="33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3" xfId="0" applyFont="1" applyBorder="1" applyAlignment="1">
      <alignment horizontal="center"/>
    </xf>
    <xf numFmtId="0" fontId="25" fillId="0" borderId="11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wrapText="1"/>
    </xf>
    <xf numFmtId="0" fontId="1" fillId="0" borderId="12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wrapText="1"/>
    </xf>
    <xf numFmtId="0" fontId="26" fillId="0" borderId="10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5" fillId="0" borderId="14" xfId="0" applyFont="1" applyBorder="1" applyAlignment="1">
      <alignment horizontal="left" wrapText="1"/>
    </xf>
    <xf numFmtId="0" fontId="25" fillId="0" borderId="28" xfId="0" applyFont="1" applyBorder="1" applyAlignment="1">
      <alignment horizontal="left" wrapText="1"/>
    </xf>
    <xf numFmtId="0" fontId="25" fillId="0" borderId="12" xfId="0" applyFont="1" applyBorder="1" applyAlignment="1">
      <alignment horizontal="left" wrapText="1"/>
    </xf>
    <xf numFmtId="0" fontId="26" fillId="0" borderId="4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25" fillId="0" borderId="11" xfId="0" applyFont="1" applyBorder="1" applyAlignment="1">
      <alignment horizontal="left" wrapText="1"/>
    </xf>
    <xf numFmtId="0" fontId="25" fillId="0" borderId="23" xfId="0" applyFont="1" applyBorder="1" applyAlignment="1">
      <alignment horizontal="left" wrapText="1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center" vertical="center"/>
    </xf>
    <xf numFmtId="170" fontId="1" fillId="0" borderId="33" xfId="0" applyNumberFormat="1" applyFont="1" applyBorder="1" applyAlignment="1">
      <alignment horizontal="center" vertical="center"/>
    </xf>
    <xf numFmtId="0" fontId="10" fillId="0" borderId="1" xfId="0" applyFont="1" applyBorder="1"/>
    <xf numFmtId="0" fontId="22" fillId="0" borderId="2" xfId="0" applyFont="1" applyBorder="1"/>
    <xf numFmtId="0" fontId="22" fillId="0" borderId="3" xfId="0" applyFont="1" applyBorder="1"/>
    <xf numFmtId="0" fontId="10" fillId="0" borderId="11" xfId="0" applyFont="1" applyBorder="1"/>
    <xf numFmtId="0" fontId="22" fillId="0" borderId="12" xfId="0" applyFont="1" applyBorder="1"/>
    <xf numFmtId="0" fontId="22" fillId="0" borderId="13" xfId="0" applyFont="1" applyBorder="1"/>
    <xf numFmtId="0" fontId="6" fillId="0" borderId="10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22" xfId="0" applyFont="1" applyBorder="1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/>
    </xf>
    <xf numFmtId="0" fontId="3" fillId="0" borderId="14" xfId="0" applyFont="1" applyBorder="1"/>
    <xf numFmtId="49" fontId="5" fillId="4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6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3" fillId="9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13" fillId="9" borderId="18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13" fillId="9" borderId="27" xfId="0" applyFont="1" applyFill="1" applyBorder="1" applyAlignment="1">
      <alignment horizontal="center" vertical="center"/>
    </xf>
    <xf numFmtId="0" fontId="3" fillId="0" borderId="28" xfId="0" applyFont="1" applyBorder="1"/>
    <xf numFmtId="0" fontId="16" fillId="8" borderId="1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/>
    <xf numFmtId="44" fontId="8" fillId="0" borderId="10" xfId="1" applyFont="1" applyBorder="1" applyAlignment="1">
      <alignment horizontal="center"/>
    </xf>
    <xf numFmtId="44" fontId="3" fillId="0" borderId="9" xfId="1" applyFont="1" applyBorder="1"/>
    <xf numFmtId="44" fontId="3" fillId="0" borderId="22" xfId="1" applyFont="1" applyBorder="1"/>
    <xf numFmtId="176" fontId="8" fillId="0" borderId="5" xfId="0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tabSelected="1" topLeftCell="B2" zoomScale="97" zoomScaleNormal="120" workbookViewId="0">
      <selection activeCell="R3" sqref="R3:R15"/>
    </sheetView>
  </sheetViews>
  <sheetFormatPr baseColWidth="10" defaultColWidth="14.44140625" defaultRowHeight="15" customHeight="1" x14ac:dyDescent="0.3"/>
  <cols>
    <col min="1" max="1" width="10.77734375" customWidth="1"/>
    <col min="2" max="2" width="27" customWidth="1"/>
    <col min="3" max="3" width="10.21875" customWidth="1"/>
    <col min="4" max="5" width="10.77734375" customWidth="1"/>
    <col min="6" max="6" width="18.77734375" customWidth="1"/>
    <col min="7" max="7" width="14.21875" customWidth="1"/>
    <col min="8" max="8" width="5.77734375" customWidth="1"/>
    <col min="9" max="9" width="9.44140625" customWidth="1"/>
    <col min="10" max="10" width="6.21875" customWidth="1"/>
    <col min="11" max="11" width="11.21875" customWidth="1"/>
    <col min="12" max="12" width="8.77734375" customWidth="1"/>
    <col min="13" max="13" width="12.77734375" customWidth="1"/>
    <col min="14" max="15" width="12.44140625" customWidth="1"/>
    <col min="16" max="16" width="10.77734375" customWidth="1"/>
    <col min="17" max="17" width="12" customWidth="1"/>
    <col min="18" max="18" width="15.77734375" customWidth="1"/>
    <col min="19" max="21" width="10.77734375" customWidth="1"/>
  </cols>
  <sheetData>
    <row r="1" spans="1:18" ht="28.5" customHeight="1" x14ac:dyDescent="0.35">
      <c r="A1" s="179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1"/>
      <c r="P1" s="182" t="s">
        <v>1</v>
      </c>
      <c r="Q1" s="183"/>
      <c r="R1" s="183"/>
    </row>
    <row r="2" spans="1:18" ht="75.75" customHeight="1" x14ac:dyDescent="0.3">
      <c r="A2" s="1" t="s">
        <v>2</v>
      </c>
      <c r="B2" s="2" t="s">
        <v>3</v>
      </c>
      <c r="C2" s="67" t="s">
        <v>4</v>
      </c>
      <c r="D2" s="184" t="s">
        <v>5</v>
      </c>
      <c r="E2" s="183"/>
      <c r="F2" s="185"/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4" t="s">
        <v>15</v>
      </c>
      <c r="Q2" s="4" t="s">
        <v>16</v>
      </c>
      <c r="R2" s="5" t="s">
        <v>17</v>
      </c>
    </row>
    <row r="3" spans="1:18" ht="14.4" x14ac:dyDescent="0.3">
      <c r="A3" s="186" t="s">
        <v>18</v>
      </c>
      <c r="B3" s="71" t="s">
        <v>19</v>
      </c>
      <c r="C3" s="6" t="s">
        <v>20</v>
      </c>
      <c r="D3" s="170" t="s">
        <v>21</v>
      </c>
      <c r="E3" s="171"/>
      <c r="F3" s="172"/>
      <c r="G3" s="8">
        <v>0.15</v>
      </c>
      <c r="H3" s="9">
        <v>3</v>
      </c>
      <c r="I3" s="9">
        <v>4</v>
      </c>
      <c r="J3" s="9">
        <v>6</v>
      </c>
      <c r="K3" s="204">
        <f>(H3+4*I3+J3)/6</f>
        <v>4.166666666666667</v>
      </c>
      <c r="L3" s="10">
        <f>(J3-H3)/6</f>
        <v>0.5</v>
      </c>
      <c r="M3" s="10">
        <f>(K3+L3)*1.2</f>
        <v>5.6000000000000005</v>
      </c>
      <c r="N3" s="11">
        <v>0.5</v>
      </c>
      <c r="O3" s="10">
        <f>1.2*N3</f>
        <v>0.6</v>
      </c>
      <c r="P3" s="12">
        <f>Presupuesto!G10</f>
        <v>39535.199999999997</v>
      </c>
      <c r="Q3" s="12">
        <f>P3*O3</f>
        <v>23721.119999999999</v>
      </c>
      <c r="R3" s="201">
        <f>SUM(Q3:Q15)</f>
        <v>628192.31999999995</v>
      </c>
    </row>
    <row r="4" spans="1:18" ht="14.4" x14ac:dyDescent="0.3">
      <c r="A4" s="177"/>
      <c r="B4" s="71" t="s">
        <v>22</v>
      </c>
      <c r="C4" s="6" t="s">
        <v>20</v>
      </c>
      <c r="D4" s="170" t="s">
        <v>23</v>
      </c>
      <c r="E4" s="171"/>
      <c r="F4" s="172"/>
      <c r="G4" s="15">
        <v>0.1</v>
      </c>
      <c r="H4" s="9">
        <v>3</v>
      </c>
      <c r="I4" s="9">
        <v>4</v>
      </c>
      <c r="J4" s="9">
        <v>6</v>
      </c>
      <c r="K4" s="204">
        <f t="shared" ref="K4:K27" si="0">(H4+4*I4+J4)/6</f>
        <v>4.166666666666667</v>
      </c>
      <c r="L4" s="10">
        <f t="shared" ref="L4:L27" si="1">(J4-H4)/6</f>
        <v>0.5</v>
      </c>
      <c r="M4" s="10">
        <f t="shared" ref="M4:M27" si="2">(K4+L4)*1.2</f>
        <v>5.6000000000000005</v>
      </c>
      <c r="N4" s="11">
        <v>1</v>
      </c>
      <c r="O4" s="10">
        <f t="shared" ref="O4:O27" si="3">1.2*N4</f>
        <v>1.2</v>
      </c>
      <c r="P4" s="12">
        <f>Presupuesto!G12</f>
        <v>65892</v>
      </c>
      <c r="Q4" s="12">
        <f t="shared" ref="Q3:Q27" si="4">P4*O4</f>
        <v>79070.399999999994</v>
      </c>
      <c r="R4" s="202"/>
    </row>
    <row r="5" spans="1:18" ht="14.4" x14ac:dyDescent="0.3">
      <c r="A5" s="177"/>
      <c r="B5" s="68" t="s">
        <v>24</v>
      </c>
      <c r="C5" s="6" t="s">
        <v>20</v>
      </c>
      <c r="D5" s="187" t="s">
        <v>23</v>
      </c>
      <c r="E5" s="171"/>
      <c r="F5" s="172"/>
      <c r="G5" s="73">
        <v>0.1</v>
      </c>
      <c r="H5" s="9">
        <v>6</v>
      </c>
      <c r="I5" s="9">
        <v>8</v>
      </c>
      <c r="J5" s="9">
        <v>10</v>
      </c>
      <c r="K5" s="204">
        <f t="shared" si="0"/>
        <v>8</v>
      </c>
      <c r="L5" s="10">
        <f t="shared" si="1"/>
        <v>0.66666666666666663</v>
      </c>
      <c r="M5" s="10">
        <f t="shared" si="2"/>
        <v>10.399999999999999</v>
      </c>
      <c r="N5" s="11">
        <v>1</v>
      </c>
      <c r="O5" s="10">
        <f t="shared" si="3"/>
        <v>1.2</v>
      </c>
      <c r="P5">
        <v>44186</v>
      </c>
      <c r="Q5" s="12">
        <f t="shared" si="4"/>
        <v>53023.199999999997</v>
      </c>
      <c r="R5" s="202"/>
    </row>
    <row r="6" spans="1:18" ht="14.4" x14ac:dyDescent="0.3">
      <c r="A6" s="177"/>
      <c r="B6" s="70" t="s">
        <v>25</v>
      </c>
      <c r="C6" s="6" t="s">
        <v>20</v>
      </c>
      <c r="D6" s="170" t="s">
        <v>23</v>
      </c>
      <c r="E6" s="171"/>
      <c r="F6" s="172"/>
      <c r="G6" s="73">
        <v>0.15</v>
      </c>
      <c r="H6" s="9">
        <v>4</v>
      </c>
      <c r="I6" s="9">
        <v>5</v>
      </c>
      <c r="J6" s="9">
        <v>7</v>
      </c>
      <c r="K6" s="204">
        <f t="shared" si="0"/>
        <v>5.166666666666667</v>
      </c>
      <c r="L6" s="10">
        <f t="shared" si="1"/>
        <v>0.5</v>
      </c>
      <c r="M6" s="10">
        <f t="shared" si="2"/>
        <v>6.8</v>
      </c>
      <c r="N6" s="11">
        <v>1</v>
      </c>
      <c r="O6" s="10">
        <f t="shared" si="3"/>
        <v>1.2</v>
      </c>
      <c r="P6" s="12">
        <v>44574</v>
      </c>
      <c r="Q6" s="12">
        <f t="shared" si="4"/>
        <v>53488.799999999996</v>
      </c>
      <c r="R6" s="202"/>
    </row>
    <row r="7" spans="1:18" ht="14.4" x14ac:dyDescent="0.3">
      <c r="A7" s="177"/>
      <c r="B7" s="69" t="s">
        <v>26</v>
      </c>
      <c r="C7" s="6" t="s">
        <v>20</v>
      </c>
      <c r="D7" s="170" t="s">
        <v>21</v>
      </c>
      <c r="E7" s="171"/>
      <c r="F7" s="172"/>
      <c r="G7" s="73">
        <v>0.15</v>
      </c>
      <c r="H7" s="9">
        <v>6</v>
      </c>
      <c r="I7" s="9">
        <v>6</v>
      </c>
      <c r="J7" s="9">
        <v>7</v>
      </c>
      <c r="K7" s="204">
        <f t="shared" si="0"/>
        <v>6.166666666666667</v>
      </c>
      <c r="L7" s="10">
        <f t="shared" si="1"/>
        <v>0.16666666666666666</v>
      </c>
      <c r="M7" s="10">
        <f t="shared" si="2"/>
        <v>7.6000000000000005</v>
      </c>
      <c r="N7" s="11">
        <v>1</v>
      </c>
      <c r="O7" s="10">
        <f t="shared" si="3"/>
        <v>1.2</v>
      </c>
      <c r="P7" s="12">
        <v>42000</v>
      </c>
      <c r="Q7" s="12">
        <f t="shared" si="4"/>
        <v>50400</v>
      </c>
      <c r="R7" s="202"/>
    </row>
    <row r="8" spans="1:18" ht="14.4" x14ac:dyDescent="0.3">
      <c r="A8" s="177"/>
      <c r="B8" s="69" t="s">
        <v>27</v>
      </c>
      <c r="C8" s="6" t="s">
        <v>20</v>
      </c>
      <c r="D8" s="170" t="s">
        <v>21</v>
      </c>
      <c r="E8" s="171"/>
      <c r="F8" s="172"/>
      <c r="G8" s="15">
        <v>0.15</v>
      </c>
      <c r="H8" s="9">
        <v>3</v>
      </c>
      <c r="I8" s="9">
        <v>4</v>
      </c>
      <c r="J8" s="9">
        <v>6</v>
      </c>
      <c r="K8" s="204">
        <f t="shared" si="0"/>
        <v>4.166666666666667</v>
      </c>
      <c r="L8" s="10">
        <f t="shared" si="1"/>
        <v>0.5</v>
      </c>
      <c r="M8" s="10">
        <f t="shared" si="2"/>
        <v>5.6000000000000005</v>
      </c>
      <c r="N8" s="11">
        <v>0.5</v>
      </c>
      <c r="O8" s="10">
        <f t="shared" si="3"/>
        <v>0.6</v>
      </c>
      <c r="P8" s="12">
        <v>35000</v>
      </c>
      <c r="Q8" s="12">
        <f t="shared" si="4"/>
        <v>21000</v>
      </c>
      <c r="R8" s="202"/>
    </row>
    <row r="9" spans="1:18" ht="14.4" x14ac:dyDescent="0.3">
      <c r="A9" s="177"/>
      <c r="B9" s="69" t="s">
        <v>28</v>
      </c>
      <c r="C9" s="7" t="s">
        <v>20</v>
      </c>
      <c r="D9" s="170" t="s">
        <v>21</v>
      </c>
      <c r="E9" s="171"/>
      <c r="F9" s="172"/>
      <c r="G9" s="13">
        <v>0.15</v>
      </c>
      <c r="H9" s="9">
        <v>3</v>
      </c>
      <c r="I9" s="9">
        <v>4</v>
      </c>
      <c r="J9" s="9">
        <v>6</v>
      </c>
      <c r="K9" s="204">
        <f t="shared" si="0"/>
        <v>4.166666666666667</v>
      </c>
      <c r="L9" s="10">
        <f t="shared" si="1"/>
        <v>0.5</v>
      </c>
      <c r="M9" s="10">
        <f t="shared" si="2"/>
        <v>5.6000000000000005</v>
      </c>
      <c r="N9" s="11">
        <v>1</v>
      </c>
      <c r="O9" s="10">
        <f t="shared" si="3"/>
        <v>1.2</v>
      </c>
      <c r="P9" s="12">
        <v>30000</v>
      </c>
      <c r="Q9" s="12">
        <f t="shared" si="4"/>
        <v>36000</v>
      </c>
      <c r="R9" s="202"/>
    </row>
    <row r="10" spans="1:18" ht="14.4" x14ac:dyDescent="0.3">
      <c r="A10" s="177"/>
      <c r="B10" s="69" t="s">
        <v>29</v>
      </c>
      <c r="C10" s="7" t="s">
        <v>20</v>
      </c>
      <c r="D10" s="170" t="s">
        <v>21</v>
      </c>
      <c r="E10" s="171"/>
      <c r="F10" s="172"/>
      <c r="G10" s="13">
        <v>0.15</v>
      </c>
      <c r="H10" s="9">
        <v>3</v>
      </c>
      <c r="I10" s="9">
        <v>4</v>
      </c>
      <c r="J10" s="9">
        <v>6</v>
      </c>
      <c r="K10" s="204">
        <f t="shared" si="0"/>
        <v>4.166666666666667</v>
      </c>
      <c r="L10" s="10">
        <f t="shared" si="1"/>
        <v>0.5</v>
      </c>
      <c r="M10" s="10">
        <f t="shared" si="2"/>
        <v>5.6000000000000005</v>
      </c>
      <c r="N10" s="11">
        <v>1</v>
      </c>
      <c r="O10" s="10">
        <f t="shared" si="3"/>
        <v>1.2</v>
      </c>
      <c r="P10" s="12">
        <v>44574</v>
      </c>
      <c r="Q10" s="12">
        <f t="shared" si="4"/>
        <v>53488.799999999996</v>
      </c>
      <c r="R10" s="202"/>
    </row>
    <row r="11" spans="1:18" ht="14.4" x14ac:dyDescent="0.3">
      <c r="A11" s="177"/>
      <c r="B11" s="69" t="s">
        <v>30</v>
      </c>
      <c r="C11" s="6" t="s">
        <v>20</v>
      </c>
      <c r="D11" s="170" t="s">
        <v>21</v>
      </c>
      <c r="E11" s="171"/>
      <c r="F11" s="172"/>
      <c r="G11" s="8">
        <v>0.15</v>
      </c>
      <c r="H11" s="9">
        <v>6</v>
      </c>
      <c r="I11" s="9">
        <v>8</v>
      </c>
      <c r="J11" s="9">
        <v>10</v>
      </c>
      <c r="K11" s="204">
        <f t="shared" si="0"/>
        <v>8</v>
      </c>
      <c r="L11" s="10">
        <f t="shared" si="1"/>
        <v>0.66666666666666663</v>
      </c>
      <c r="M11" s="10">
        <f t="shared" si="2"/>
        <v>10.399999999999999</v>
      </c>
      <c r="N11" s="11">
        <v>1</v>
      </c>
      <c r="O11" s="10">
        <f t="shared" si="3"/>
        <v>1.2</v>
      </c>
      <c r="P11" s="12">
        <v>42000</v>
      </c>
      <c r="Q11" s="12">
        <f t="shared" si="4"/>
        <v>50400</v>
      </c>
      <c r="R11" s="202"/>
    </row>
    <row r="12" spans="1:18" ht="14.4" x14ac:dyDescent="0.3">
      <c r="A12" s="177"/>
      <c r="B12" s="69" t="s">
        <v>31</v>
      </c>
      <c r="C12" s="6" t="s">
        <v>20</v>
      </c>
      <c r="D12" s="170" t="s">
        <v>21</v>
      </c>
      <c r="E12" s="171"/>
      <c r="F12" s="172"/>
      <c r="G12" s="8">
        <v>0.15</v>
      </c>
      <c r="H12" s="9">
        <v>3</v>
      </c>
      <c r="I12" s="9">
        <v>4</v>
      </c>
      <c r="J12" s="9">
        <v>6</v>
      </c>
      <c r="K12" s="204">
        <f t="shared" si="0"/>
        <v>4.166666666666667</v>
      </c>
      <c r="L12" s="10">
        <f t="shared" si="1"/>
        <v>0.5</v>
      </c>
      <c r="M12" s="10">
        <f t="shared" si="2"/>
        <v>5.6000000000000005</v>
      </c>
      <c r="N12" s="11">
        <v>1</v>
      </c>
      <c r="O12" s="10">
        <f t="shared" si="3"/>
        <v>1.2</v>
      </c>
      <c r="P12" s="12">
        <v>30000</v>
      </c>
      <c r="Q12" s="12">
        <f t="shared" si="4"/>
        <v>36000</v>
      </c>
      <c r="R12" s="202"/>
    </row>
    <row r="13" spans="1:18" ht="14.4" x14ac:dyDescent="0.3">
      <c r="A13" s="177"/>
      <c r="B13" s="69" t="s">
        <v>32</v>
      </c>
      <c r="C13" s="6" t="s">
        <v>20</v>
      </c>
      <c r="D13" s="170" t="s">
        <v>33</v>
      </c>
      <c r="E13" s="171"/>
      <c r="F13" s="172"/>
      <c r="G13" s="8">
        <v>0.1</v>
      </c>
      <c r="H13" s="9">
        <v>3</v>
      </c>
      <c r="I13" s="9">
        <v>4</v>
      </c>
      <c r="J13" s="9">
        <v>6</v>
      </c>
      <c r="K13" s="204">
        <f t="shared" si="0"/>
        <v>4.166666666666667</v>
      </c>
      <c r="L13" s="10">
        <f t="shared" si="1"/>
        <v>0.5</v>
      </c>
      <c r="M13" s="10">
        <f t="shared" si="2"/>
        <v>5.6000000000000005</v>
      </c>
      <c r="N13" s="11">
        <v>1</v>
      </c>
      <c r="O13" s="10">
        <f t="shared" si="3"/>
        <v>1.2</v>
      </c>
      <c r="P13" s="12">
        <v>50000</v>
      </c>
      <c r="Q13" s="12">
        <f t="shared" si="4"/>
        <v>60000</v>
      </c>
      <c r="R13" s="202"/>
    </row>
    <row r="14" spans="1:18" ht="14.4" x14ac:dyDescent="0.3">
      <c r="A14" s="177"/>
      <c r="B14" s="69" t="s">
        <v>35</v>
      </c>
      <c r="C14" s="6" t="s">
        <v>20</v>
      </c>
      <c r="D14" s="170" t="s">
        <v>21</v>
      </c>
      <c r="E14" s="171"/>
      <c r="F14" s="172"/>
      <c r="G14" s="8">
        <v>0.15</v>
      </c>
      <c r="H14" s="9">
        <v>3</v>
      </c>
      <c r="I14" s="9">
        <v>4</v>
      </c>
      <c r="J14" s="9">
        <v>6</v>
      </c>
      <c r="K14" s="204">
        <f t="shared" si="0"/>
        <v>4.166666666666667</v>
      </c>
      <c r="L14" s="10">
        <f t="shared" si="1"/>
        <v>0.5</v>
      </c>
      <c r="M14" s="10">
        <f t="shared" si="2"/>
        <v>5.6000000000000005</v>
      </c>
      <c r="N14" s="11">
        <v>1</v>
      </c>
      <c r="O14" s="10">
        <f t="shared" si="3"/>
        <v>1.2</v>
      </c>
      <c r="P14" s="12">
        <v>38000</v>
      </c>
      <c r="Q14" s="12">
        <f t="shared" si="4"/>
        <v>45600</v>
      </c>
      <c r="R14" s="202"/>
    </row>
    <row r="15" spans="1:18" ht="14.4" x14ac:dyDescent="0.3">
      <c r="A15" s="177"/>
      <c r="B15" s="69" t="s">
        <v>36</v>
      </c>
      <c r="C15" s="14" t="s">
        <v>20</v>
      </c>
      <c r="D15" s="173" t="s">
        <v>37</v>
      </c>
      <c r="E15" s="174"/>
      <c r="F15" s="175"/>
      <c r="G15" s="15">
        <v>0.1</v>
      </c>
      <c r="H15" s="9">
        <v>6</v>
      </c>
      <c r="I15" s="9">
        <v>8</v>
      </c>
      <c r="J15" s="9">
        <v>10</v>
      </c>
      <c r="K15" s="204">
        <f t="shared" si="0"/>
        <v>8</v>
      </c>
      <c r="L15" s="10">
        <f t="shared" si="1"/>
        <v>0.66666666666666663</v>
      </c>
      <c r="M15" s="10">
        <f t="shared" si="2"/>
        <v>10.399999999999999</v>
      </c>
      <c r="N15" s="11">
        <v>1</v>
      </c>
      <c r="O15" s="10">
        <f t="shared" si="3"/>
        <v>1.2</v>
      </c>
      <c r="P15" s="12">
        <v>55000</v>
      </c>
      <c r="Q15" s="12">
        <f t="shared" si="4"/>
        <v>66000</v>
      </c>
      <c r="R15" s="203"/>
    </row>
    <row r="16" spans="1:18" ht="14.4" x14ac:dyDescent="0.3">
      <c r="A16" s="176"/>
      <c r="B16" s="69" t="s">
        <v>38</v>
      </c>
      <c r="C16" s="6" t="s">
        <v>34</v>
      </c>
      <c r="D16" s="170" t="s">
        <v>21</v>
      </c>
      <c r="E16" s="171"/>
      <c r="F16" s="172"/>
      <c r="G16" s="8">
        <v>0.15</v>
      </c>
      <c r="H16" s="9">
        <v>3</v>
      </c>
      <c r="I16" s="9">
        <v>4</v>
      </c>
      <c r="J16" s="9">
        <v>6</v>
      </c>
      <c r="K16" s="204">
        <f t="shared" si="0"/>
        <v>4.166666666666667</v>
      </c>
      <c r="L16" s="10">
        <f t="shared" si="1"/>
        <v>0.5</v>
      </c>
      <c r="M16" s="10">
        <f t="shared" si="2"/>
        <v>5.6000000000000005</v>
      </c>
      <c r="N16" s="11">
        <v>1</v>
      </c>
      <c r="O16" s="10">
        <f t="shared" si="3"/>
        <v>1.2</v>
      </c>
      <c r="P16" s="12">
        <v>28000</v>
      </c>
      <c r="Q16" s="12">
        <f t="shared" si="4"/>
        <v>33600</v>
      </c>
      <c r="R16" s="201">
        <f>SUM(Q16:Q27)</f>
        <v>580288.80000000005</v>
      </c>
    </row>
    <row r="17" spans="1:18" ht="14.4" x14ac:dyDescent="0.3">
      <c r="A17" s="177"/>
      <c r="B17" s="69" t="s">
        <v>39</v>
      </c>
      <c r="C17" s="6" t="s">
        <v>34</v>
      </c>
      <c r="D17" s="170" t="s">
        <v>33</v>
      </c>
      <c r="E17" s="171"/>
      <c r="F17" s="172"/>
      <c r="G17" s="8">
        <v>0.1</v>
      </c>
      <c r="H17" s="9">
        <v>3</v>
      </c>
      <c r="I17" s="9">
        <v>4</v>
      </c>
      <c r="J17" s="9">
        <v>6</v>
      </c>
      <c r="K17" s="204">
        <f t="shared" si="0"/>
        <v>4.166666666666667</v>
      </c>
      <c r="L17" s="10">
        <f t="shared" si="1"/>
        <v>0.5</v>
      </c>
      <c r="M17" s="10">
        <f t="shared" si="2"/>
        <v>5.6000000000000005</v>
      </c>
      <c r="N17" s="11">
        <v>1</v>
      </c>
      <c r="O17" s="10">
        <f t="shared" si="3"/>
        <v>1.2</v>
      </c>
      <c r="P17" s="12">
        <v>48000</v>
      </c>
      <c r="Q17" s="12">
        <f t="shared" si="4"/>
        <v>57600</v>
      </c>
      <c r="R17" s="202"/>
    </row>
    <row r="18" spans="1:18" ht="14.4" x14ac:dyDescent="0.3">
      <c r="A18" s="177"/>
      <c r="B18" s="69" t="s">
        <v>40</v>
      </c>
      <c r="C18" s="6" t="s">
        <v>34</v>
      </c>
      <c r="D18" s="170" t="s">
        <v>41</v>
      </c>
      <c r="E18" s="171"/>
      <c r="F18" s="172"/>
      <c r="G18" s="8">
        <v>0.15</v>
      </c>
      <c r="H18" s="9">
        <v>3</v>
      </c>
      <c r="I18" s="9">
        <v>4</v>
      </c>
      <c r="J18" s="9">
        <v>6</v>
      </c>
      <c r="K18" s="204">
        <f t="shared" si="0"/>
        <v>4.166666666666667</v>
      </c>
      <c r="L18" s="10">
        <f t="shared" si="1"/>
        <v>0.5</v>
      </c>
      <c r="M18" s="10">
        <f t="shared" si="2"/>
        <v>5.6000000000000005</v>
      </c>
      <c r="N18" s="11">
        <v>1</v>
      </c>
      <c r="O18" s="10">
        <f t="shared" si="3"/>
        <v>1.2</v>
      </c>
      <c r="P18" s="12">
        <v>47000</v>
      </c>
      <c r="Q18" s="12">
        <f t="shared" si="4"/>
        <v>56400</v>
      </c>
      <c r="R18" s="202"/>
    </row>
    <row r="19" spans="1:18" ht="14.4" x14ac:dyDescent="0.3">
      <c r="A19" s="177"/>
      <c r="B19" s="69" t="s">
        <v>42</v>
      </c>
      <c r="C19" s="6" t="s">
        <v>20</v>
      </c>
      <c r="D19" s="170" t="s">
        <v>43</v>
      </c>
      <c r="E19" s="171"/>
      <c r="F19" s="172"/>
      <c r="G19" s="8">
        <v>0.1</v>
      </c>
      <c r="H19" s="9">
        <v>6</v>
      </c>
      <c r="I19" s="9">
        <v>8</v>
      </c>
      <c r="J19" s="9">
        <v>10</v>
      </c>
      <c r="K19" s="204">
        <f t="shared" si="0"/>
        <v>8</v>
      </c>
      <c r="L19" s="10">
        <f t="shared" si="1"/>
        <v>0.66666666666666663</v>
      </c>
      <c r="M19" s="10">
        <f t="shared" si="2"/>
        <v>10.399999999999999</v>
      </c>
      <c r="N19" s="11">
        <v>1</v>
      </c>
      <c r="O19" s="10">
        <f t="shared" si="3"/>
        <v>1.2</v>
      </c>
      <c r="P19" s="12">
        <v>42000</v>
      </c>
      <c r="Q19" s="12">
        <f t="shared" si="4"/>
        <v>50400</v>
      </c>
      <c r="R19" s="202"/>
    </row>
    <row r="20" spans="1:18" ht="15.75" customHeight="1" x14ac:dyDescent="0.3">
      <c r="A20" s="177"/>
      <c r="B20" s="69" t="s">
        <v>44</v>
      </c>
      <c r="C20" s="6" t="s">
        <v>20</v>
      </c>
      <c r="D20" s="170" t="s">
        <v>21</v>
      </c>
      <c r="E20" s="171"/>
      <c r="F20" s="172"/>
      <c r="G20" s="8">
        <v>0.15</v>
      </c>
      <c r="H20" s="9">
        <v>3</v>
      </c>
      <c r="I20" s="9">
        <v>4</v>
      </c>
      <c r="J20" s="9">
        <v>6</v>
      </c>
      <c r="K20" s="204">
        <f t="shared" si="0"/>
        <v>4.166666666666667</v>
      </c>
      <c r="L20" s="10">
        <f t="shared" si="1"/>
        <v>0.5</v>
      </c>
      <c r="M20" s="10">
        <f t="shared" si="2"/>
        <v>5.6000000000000005</v>
      </c>
      <c r="N20" s="11">
        <v>1</v>
      </c>
      <c r="O20" s="10">
        <f t="shared" si="3"/>
        <v>1.2</v>
      </c>
      <c r="P20" s="12">
        <v>30000</v>
      </c>
      <c r="Q20" s="12">
        <f t="shared" si="4"/>
        <v>36000</v>
      </c>
      <c r="R20" s="202"/>
    </row>
    <row r="21" spans="1:18" ht="15.75" customHeight="1" x14ac:dyDescent="0.3">
      <c r="A21" s="177"/>
      <c r="B21" s="69" t="s">
        <v>45</v>
      </c>
      <c r="C21" s="6" t="s">
        <v>34</v>
      </c>
      <c r="D21" s="170" t="s">
        <v>33</v>
      </c>
      <c r="E21" s="171"/>
      <c r="F21" s="172"/>
      <c r="G21" s="8">
        <v>0.15</v>
      </c>
      <c r="H21" s="9">
        <v>6</v>
      </c>
      <c r="I21" s="9">
        <v>8</v>
      </c>
      <c r="J21" s="9">
        <v>10</v>
      </c>
      <c r="K21" s="204">
        <f t="shared" si="0"/>
        <v>8</v>
      </c>
      <c r="L21" s="10">
        <f t="shared" si="1"/>
        <v>0.66666666666666663</v>
      </c>
      <c r="M21" s="10">
        <f t="shared" si="2"/>
        <v>10.399999999999999</v>
      </c>
      <c r="N21" s="11">
        <v>1</v>
      </c>
      <c r="O21" s="10">
        <f t="shared" si="3"/>
        <v>1.2</v>
      </c>
      <c r="P21" s="12">
        <v>44574</v>
      </c>
      <c r="Q21" s="12">
        <f t="shared" si="4"/>
        <v>53488.799999999996</v>
      </c>
      <c r="R21" s="202"/>
    </row>
    <row r="22" spans="1:18" ht="15.75" customHeight="1" x14ac:dyDescent="0.3">
      <c r="A22" s="177"/>
      <c r="B22" s="69" t="s">
        <v>46</v>
      </c>
      <c r="C22" s="6" t="s">
        <v>20</v>
      </c>
      <c r="D22" s="170" t="s">
        <v>21</v>
      </c>
      <c r="E22" s="171"/>
      <c r="F22" s="172"/>
      <c r="G22" s="8">
        <v>0.15</v>
      </c>
      <c r="H22" s="9">
        <v>5</v>
      </c>
      <c r="I22" s="9">
        <v>8</v>
      </c>
      <c r="J22" s="9">
        <v>10</v>
      </c>
      <c r="K22" s="204">
        <f t="shared" si="0"/>
        <v>7.833333333333333</v>
      </c>
      <c r="L22" s="10">
        <f t="shared" si="1"/>
        <v>0.83333333333333337</v>
      </c>
      <c r="M22" s="10">
        <f t="shared" si="2"/>
        <v>10.399999999999999</v>
      </c>
      <c r="N22" s="11">
        <v>1</v>
      </c>
      <c r="O22" s="10">
        <f t="shared" si="3"/>
        <v>1.2</v>
      </c>
      <c r="P22" s="12">
        <v>42000</v>
      </c>
      <c r="Q22" s="12">
        <f t="shared" si="4"/>
        <v>50400</v>
      </c>
      <c r="R22" s="202"/>
    </row>
    <row r="23" spans="1:18" ht="15.75" customHeight="1" x14ac:dyDescent="0.3">
      <c r="A23" s="177"/>
      <c r="B23" s="69" t="s">
        <v>47</v>
      </c>
      <c r="C23" s="6" t="s">
        <v>34</v>
      </c>
      <c r="D23" s="170" t="s">
        <v>48</v>
      </c>
      <c r="E23" s="171"/>
      <c r="F23" s="172"/>
      <c r="G23" s="8">
        <v>0.15</v>
      </c>
      <c r="H23" s="9">
        <v>3</v>
      </c>
      <c r="I23" s="9">
        <v>4</v>
      </c>
      <c r="J23" s="9">
        <v>6</v>
      </c>
      <c r="K23" s="204">
        <f t="shared" si="0"/>
        <v>4.166666666666667</v>
      </c>
      <c r="L23" s="10">
        <f t="shared" si="1"/>
        <v>0.5</v>
      </c>
      <c r="M23" s="10">
        <f t="shared" si="2"/>
        <v>5.6000000000000005</v>
      </c>
      <c r="N23" s="11">
        <v>1</v>
      </c>
      <c r="O23" s="10">
        <f t="shared" si="3"/>
        <v>1.2</v>
      </c>
      <c r="P23" s="12">
        <v>35000</v>
      </c>
      <c r="Q23" s="12">
        <f t="shared" si="4"/>
        <v>42000</v>
      </c>
      <c r="R23" s="202"/>
    </row>
    <row r="24" spans="1:18" ht="15.75" customHeight="1" x14ac:dyDescent="0.3">
      <c r="A24" s="177"/>
      <c r="B24" s="69" t="s">
        <v>49</v>
      </c>
      <c r="C24" s="6" t="s">
        <v>20</v>
      </c>
      <c r="D24" s="170" t="s">
        <v>23</v>
      </c>
      <c r="E24" s="171"/>
      <c r="F24" s="172"/>
      <c r="G24" s="8">
        <v>0.1</v>
      </c>
      <c r="H24" s="9">
        <v>3</v>
      </c>
      <c r="I24" s="9">
        <v>4</v>
      </c>
      <c r="J24" s="9">
        <v>6</v>
      </c>
      <c r="K24" s="204">
        <f t="shared" si="0"/>
        <v>4.166666666666667</v>
      </c>
      <c r="L24" s="10">
        <f t="shared" si="1"/>
        <v>0.5</v>
      </c>
      <c r="M24" s="10">
        <f t="shared" si="2"/>
        <v>5.6000000000000005</v>
      </c>
      <c r="N24" s="11">
        <v>1</v>
      </c>
      <c r="O24" s="10">
        <f t="shared" si="3"/>
        <v>1.2</v>
      </c>
      <c r="P24" s="12">
        <v>48000</v>
      </c>
      <c r="Q24" s="12">
        <f t="shared" si="4"/>
        <v>57600</v>
      </c>
      <c r="R24" s="202"/>
    </row>
    <row r="25" spans="1:18" ht="15.75" customHeight="1" x14ac:dyDescent="0.3">
      <c r="A25" s="177"/>
      <c r="B25" s="69" t="s">
        <v>50</v>
      </c>
      <c r="C25" s="6" t="s">
        <v>34</v>
      </c>
      <c r="D25" s="170" t="s">
        <v>21</v>
      </c>
      <c r="E25" s="171"/>
      <c r="F25" s="172"/>
      <c r="G25" s="8">
        <v>0.15</v>
      </c>
      <c r="H25" s="9">
        <v>3</v>
      </c>
      <c r="I25" s="9">
        <v>4</v>
      </c>
      <c r="J25" s="9">
        <v>6</v>
      </c>
      <c r="K25" s="204">
        <f t="shared" si="0"/>
        <v>4.166666666666667</v>
      </c>
      <c r="L25" s="10">
        <f t="shared" si="1"/>
        <v>0.5</v>
      </c>
      <c r="M25" s="10">
        <f t="shared" si="2"/>
        <v>5.6000000000000005</v>
      </c>
      <c r="N25" s="11">
        <v>1</v>
      </c>
      <c r="O25" s="10">
        <f t="shared" si="3"/>
        <v>1.2</v>
      </c>
      <c r="P25" s="12">
        <v>47000</v>
      </c>
      <c r="Q25" s="12">
        <f t="shared" si="4"/>
        <v>56400</v>
      </c>
      <c r="R25" s="202"/>
    </row>
    <row r="26" spans="1:18" ht="15.75" customHeight="1" x14ac:dyDescent="0.3">
      <c r="A26" s="177"/>
      <c r="B26" s="69" t="s">
        <v>51</v>
      </c>
      <c r="C26" s="6" t="s">
        <v>34</v>
      </c>
      <c r="D26" s="170" t="s">
        <v>21</v>
      </c>
      <c r="E26" s="171"/>
      <c r="F26" s="172"/>
      <c r="G26" s="8">
        <v>0.15</v>
      </c>
      <c r="H26" s="9">
        <v>6</v>
      </c>
      <c r="I26" s="9">
        <v>8</v>
      </c>
      <c r="J26" s="9">
        <v>10</v>
      </c>
      <c r="K26" s="204">
        <f t="shared" si="0"/>
        <v>8</v>
      </c>
      <c r="L26" s="10">
        <f t="shared" si="1"/>
        <v>0.66666666666666663</v>
      </c>
      <c r="M26" s="10">
        <f t="shared" si="2"/>
        <v>10.399999999999999</v>
      </c>
      <c r="N26" s="11">
        <v>1</v>
      </c>
      <c r="O26" s="10">
        <f t="shared" si="3"/>
        <v>1.2</v>
      </c>
      <c r="P26" s="12">
        <v>42000</v>
      </c>
      <c r="Q26" s="12">
        <f t="shared" si="4"/>
        <v>50400</v>
      </c>
      <c r="R26" s="202"/>
    </row>
    <row r="27" spans="1:18" ht="15.75" customHeight="1" x14ac:dyDescent="0.3">
      <c r="A27" s="178"/>
      <c r="B27" s="74" t="s">
        <v>52</v>
      </c>
      <c r="C27" s="6" t="s">
        <v>20</v>
      </c>
      <c r="D27" s="170" t="s">
        <v>23</v>
      </c>
      <c r="E27" s="171"/>
      <c r="F27" s="172"/>
      <c r="G27" s="8">
        <v>0.1</v>
      </c>
      <c r="H27" s="9">
        <v>4</v>
      </c>
      <c r="I27" s="9">
        <v>5</v>
      </c>
      <c r="J27" s="9">
        <v>7</v>
      </c>
      <c r="K27" s="204">
        <f t="shared" si="0"/>
        <v>5.166666666666667</v>
      </c>
      <c r="L27" s="10">
        <f t="shared" si="1"/>
        <v>0.5</v>
      </c>
      <c r="M27" s="10">
        <f t="shared" si="2"/>
        <v>6.8</v>
      </c>
      <c r="N27" s="11">
        <v>1</v>
      </c>
      <c r="O27" s="10">
        <f t="shared" si="3"/>
        <v>1.2</v>
      </c>
      <c r="P27" s="12">
        <v>30000</v>
      </c>
      <c r="Q27" s="12">
        <f t="shared" si="4"/>
        <v>36000</v>
      </c>
      <c r="R27" s="203"/>
    </row>
    <row r="28" spans="1:18" ht="15.75" customHeight="1" x14ac:dyDescent="0.3">
      <c r="B28" s="72"/>
    </row>
    <row r="29" spans="1:18" ht="15.75" customHeight="1" x14ac:dyDescent="0.3"/>
    <row r="30" spans="1:18" ht="15.75" customHeight="1" x14ac:dyDescent="0.3"/>
    <row r="31" spans="1:18" ht="15.75" customHeight="1" x14ac:dyDescent="0.3"/>
    <row r="32" spans="1:1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2">
    <mergeCell ref="A1:O1"/>
    <mergeCell ref="P1:R1"/>
    <mergeCell ref="D2:F2"/>
    <mergeCell ref="A3:A15"/>
    <mergeCell ref="D3:F3"/>
    <mergeCell ref="R3:R15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A16:A27"/>
    <mergeCell ref="D16:F16"/>
    <mergeCell ref="R16:R27"/>
    <mergeCell ref="D17:F17"/>
    <mergeCell ref="D18:F18"/>
    <mergeCell ref="D27:F27"/>
    <mergeCell ref="D23:F23"/>
    <mergeCell ref="D24:F24"/>
    <mergeCell ref="D25:F25"/>
    <mergeCell ref="D26:F26"/>
    <mergeCell ref="D19:F19"/>
    <mergeCell ref="D20:F20"/>
    <mergeCell ref="D21:F21"/>
    <mergeCell ref="D22:F22"/>
  </mergeCells>
  <pageMargins left="0.70866141732283472" right="0.70866141732283472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03"/>
  <sheetViews>
    <sheetView topLeftCell="A3" zoomScale="92" workbookViewId="0">
      <selection activeCell="J40" sqref="J40"/>
    </sheetView>
  </sheetViews>
  <sheetFormatPr baseColWidth="10" defaultColWidth="14.44140625" defaultRowHeight="15" customHeight="1" x14ac:dyDescent="0.3"/>
  <cols>
    <col min="1" max="1" width="4" customWidth="1"/>
    <col min="2" max="2" width="10.77734375" customWidth="1"/>
    <col min="3" max="3" width="8.77734375" customWidth="1"/>
    <col min="4" max="4" width="30.6640625" customWidth="1"/>
    <col min="5" max="5" width="10.21875" customWidth="1"/>
    <col min="6" max="6" width="11.88671875" customWidth="1"/>
    <col min="7" max="7" width="17" customWidth="1"/>
    <col min="8" max="10" width="10.77734375" customWidth="1"/>
  </cols>
  <sheetData>
    <row r="2" spans="2:8" ht="15.45" customHeight="1" x14ac:dyDescent="0.3">
      <c r="B2" s="92" t="s">
        <v>53</v>
      </c>
      <c r="C2" s="93"/>
      <c r="D2" s="93"/>
      <c r="E2" s="94"/>
      <c r="F2" s="95" t="s">
        <v>1</v>
      </c>
      <c r="G2" s="96"/>
      <c r="H2" s="78"/>
    </row>
    <row r="3" spans="2:8" ht="33.450000000000003" customHeight="1" x14ac:dyDescent="0.3">
      <c r="B3" s="75" t="s">
        <v>2</v>
      </c>
      <c r="C3" s="76" t="s">
        <v>163</v>
      </c>
      <c r="D3" s="85" t="s">
        <v>3</v>
      </c>
      <c r="E3" s="86" t="s">
        <v>170</v>
      </c>
      <c r="F3" s="87" t="s">
        <v>54</v>
      </c>
      <c r="G3" s="88" t="s">
        <v>177</v>
      </c>
      <c r="H3" s="78"/>
    </row>
    <row r="4" spans="2:8" ht="14.4" x14ac:dyDescent="0.3">
      <c r="B4" s="110" t="s">
        <v>55</v>
      </c>
      <c r="C4" s="138" t="s">
        <v>56</v>
      </c>
      <c r="D4" s="152" t="s">
        <v>167</v>
      </c>
      <c r="E4" s="99">
        <v>2</v>
      </c>
      <c r="F4" s="169">
        <v>750000</v>
      </c>
      <c r="G4" s="169">
        <f>E4*F4</f>
        <v>1500000</v>
      </c>
      <c r="H4" s="72"/>
    </row>
    <row r="5" spans="2:8" ht="14.4" x14ac:dyDescent="0.3">
      <c r="B5" s="111"/>
      <c r="C5" s="151"/>
      <c r="D5" s="153"/>
      <c r="E5" s="99"/>
      <c r="F5" s="169"/>
      <c r="G5" s="169"/>
      <c r="H5" s="72"/>
    </row>
    <row r="6" spans="2:8" ht="14.4" x14ac:dyDescent="0.3">
      <c r="B6" s="140" t="s">
        <v>57</v>
      </c>
      <c r="C6" s="142" t="s">
        <v>58</v>
      </c>
      <c r="D6" s="144" t="s">
        <v>168</v>
      </c>
      <c r="E6" s="99">
        <v>3</v>
      </c>
      <c r="F6" s="169">
        <v>750000</v>
      </c>
      <c r="G6" s="169">
        <f>E6*F6</f>
        <v>2250000</v>
      </c>
    </row>
    <row r="7" spans="2:8" ht="14.4" x14ac:dyDescent="0.3">
      <c r="B7" s="141"/>
      <c r="C7" s="143"/>
      <c r="D7" s="145"/>
      <c r="E7" s="99"/>
      <c r="F7" s="169"/>
      <c r="G7" s="169"/>
    </row>
    <row r="8" spans="2:8" ht="14.4" x14ac:dyDescent="0.3">
      <c r="B8" s="114" t="s">
        <v>59</v>
      </c>
      <c r="C8" s="148" t="s">
        <v>60</v>
      </c>
      <c r="D8" s="146" t="s">
        <v>169</v>
      </c>
      <c r="E8" s="99">
        <v>1</v>
      </c>
      <c r="F8" s="169">
        <v>750000</v>
      </c>
      <c r="G8" s="169">
        <f>E8*F8</f>
        <v>750000</v>
      </c>
    </row>
    <row r="9" spans="2:8" ht="14.4" x14ac:dyDescent="0.3">
      <c r="B9" s="147"/>
      <c r="C9" s="149"/>
      <c r="D9" s="144"/>
      <c r="E9" s="99"/>
      <c r="F9" s="169"/>
      <c r="G9" s="169"/>
    </row>
    <row r="10" spans="2:8" ht="14.4" x14ac:dyDescent="0.3">
      <c r="B10" s="147"/>
      <c r="C10" s="148" t="s">
        <v>61</v>
      </c>
      <c r="D10" s="97" t="s">
        <v>171</v>
      </c>
      <c r="E10" s="102">
        <v>5</v>
      </c>
      <c r="F10" s="169">
        <v>750000</v>
      </c>
      <c r="G10" s="169">
        <f>E10*F10</f>
        <v>3750000</v>
      </c>
    </row>
    <row r="11" spans="2:8" ht="14.25" customHeight="1" x14ac:dyDescent="0.3">
      <c r="B11" s="147"/>
      <c r="C11" s="150"/>
      <c r="D11" s="98"/>
      <c r="E11" s="102"/>
      <c r="F11" s="169"/>
      <c r="G11" s="169"/>
    </row>
    <row r="12" spans="2:8" ht="14.4" x14ac:dyDescent="0.3">
      <c r="B12" s="131"/>
      <c r="C12" s="149" t="s">
        <v>62</v>
      </c>
      <c r="D12" s="100" t="s">
        <v>172</v>
      </c>
      <c r="E12" s="105">
        <v>2</v>
      </c>
      <c r="F12" s="169">
        <v>750000</v>
      </c>
      <c r="G12" s="169">
        <f>E12*F12</f>
        <v>1500000</v>
      </c>
    </row>
    <row r="13" spans="2:8" ht="13.5" customHeight="1" x14ac:dyDescent="0.3">
      <c r="B13" s="131"/>
      <c r="C13" s="150"/>
      <c r="D13" s="101"/>
      <c r="E13" s="105"/>
      <c r="F13" s="169"/>
      <c r="G13" s="169"/>
    </row>
    <row r="14" spans="2:8" ht="14.4" x14ac:dyDescent="0.3">
      <c r="B14" s="110" t="s">
        <v>63</v>
      </c>
      <c r="C14" s="138" t="s">
        <v>64</v>
      </c>
      <c r="D14" s="100" t="s">
        <v>166</v>
      </c>
      <c r="E14" s="105">
        <v>3</v>
      </c>
      <c r="F14" s="169">
        <v>750000</v>
      </c>
      <c r="G14" s="169">
        <f>E14*F14</f>
        <v>2250000</v>
      </c>
    </row>
    <row r="15" spans="2:8" ht="14.4" x14ac:dyDescent="0.3">
      <c r="B15" s="131"/>
      <c r="C15" s="139"/>
      <c r="D15" s="106"/>
      <c r="E15" s="105"/>
      <c r="F15" s="169"/>
      <c r="G15" s="169"/>
    </row>
    <row r="16" spans="2:8" ht="14.4" x14ac:dyDescent="0.3">
      <c r="B16" s="131"/>
      <c r="C16" s="132" t="s">
        <v>65</v>
      </c>
      <c r="D16" s="101" t="s">
        <v>165</v>
      </c>
      <c r="E16" s="105">
        <v>2</v>
      </c>
      <c r="F16" s="169">
        <v>750000</v>
      </c>
      <c r="G16" s="169">
        <f>E16*F16</f>
        <v>1500000</v>
      </c>
    </row>
    <row r="17" spans="2:8" ht="14.4" x14ac:dyDescent="0.3">
      <c r="B17" s="131"/>
      <c r="C17" s="132"/>
      <c r="D17" s="101"/>
      <c r="E17" s="105"/>
      <c r="F17" s="169"/>
      <c r="G17" s="169"/>
    </row>
    <row r="18" spans="2:8" ht="14.4" x14ac:dyDescent="0.3">
      <c r="B18" s="134" t="s">
        <v>66</v>
      </c>
      <c r="C18" s="136" t="s">
        <v>67</v>
      </c>
      <c r="D18" s="107" t="s">
        <v>164</v>
      </c>
      <c r="E18" s="105">
        <v>2</v>
      </c>
      <c r="F18" s="169">
        <v>750000</v>
      </c>
      <c r="G18" s="169">
        <f>E18*F18</f>
        <v>1500000</v>
      </c>
    </row>
    <row r="19" spans="2:8" ht="14.4" x14ac:dyDescent="0.3">
      <c r="B19" s="135"/>
      <c r="C19" s="137"/>
      <c r="D19" s="108"/>
      <c r="E19" s="105"/>
      <c r="F19" s="169"/>
      <c r="G19" s="169"/>
    </row>
    <row r="20" spans="2:8" ht="14.4" x14ac:dyDescent="0.3">
      <c r="B20" s="110" t="s">
        <v>68</v>
      </c>
      <c r="C20" s="132" t="s">
        <v>69</v>
      </c>
      <c r="D20" s="98" t="s">
        <v>70</v>
      </c>
      <c r="E20" s="105">
        <v>1</v>
      </c>
      <c r="F20" s="169">
        <v>750000</v>
      </c>
      <c r="G20" s="169">
        <f>E20*F20</f>
        <v>750000</v>
      </c>
    </row>
    <row r="21" spans="2:8" ht="14.4" x14ac:dyDescent="0.3">
      <c r="B21" s="111"/>
      <c r="C21" s="133"/>
      <c r="D21" s="109"/>
      <c r="E21" s="105"/>
      <c r="F21" s="169"/>
      <c r="G21" s="169"/>
    </row>
    <row r="22" spans="2:8" ht="14.4" x14ac:dyDescent="0.3">
      <c r="B22" s="110" t="s">
        <v>71</v>
      </c>
      <c r="C22" s="112" t="s">
        <v>72</v>
      </c>
      <c r="D22" s="100" t="s">
        <v>173</v>
      </c>
      <c r="E22" s="105">
        <v>5</v>
      </c>
      <c r="F22" s="169">
        <v>750000</v>
      </c>
      <c r="G22" s="169">
        <f>E22*F22</f>
        <v>3750000</v>
      </c>
    </row>
    <row r="23" spans="2:8" ht="14.4" x14ac:dyDescent="0.3">
      <c r="B23" s="111"/>
      <c r="C23" s="113"/>
      <c r="D23" s="101"/>
      <c r="E23" s="105"/>
      <c r="F23" s="169"/>
      <c r="G23" s="169"/>
    </row>
    <row r="24" spans="2:8" ht="14.4" x14ac:dyDescent="0.3">
      <c r="B24" s="114" t="s">
        <v>73</v>
      </c>
      <c r="C24" s="116" t="s">
        <v>74</v>
      </c>
      <c r="D24" s="118" t="s">
        <v>75</v>
      </c>
      <c r="E24" s="105">
        <v>1</v>
      </c>
      <c r="F24" s="169">
        <v>750000</v>
      </c>
      <c r="G24" s="169">
        <f>E24*F24</f>
        <v>750000</v>
      </c>
    </row>
    <row r="25" spans="2:8" ht="14.4" x14ac:dyDescent="0.3">
      <c r="B25" s="115"/>
      <c r="C25" s="117"/>
      <c r="D25" s="119"/>
      <c r="E25" s="105"/>
      <c r="F25" s="169"/>
      <c r="G25" s="169"/>
    </row>
    <row r="26" spans="2:8" ht="14.4" x14ac:dyDescent="0.3">
      <c r="B26" s="120" t="s">
        <v>76</v>
      </c>
      <c r="C26" s="129" t="s">
        <v>77</v>
      </c>
      <c r="D26" s="127" t="s">
        <v>174</v>
      </c>
      <c r="E26" s="126">
        <v>1</v>
      </c>
      <c r="F26" s="169">
        <v>750000</v>
      </c>
      <c r="G26" s="169">
        <f>E26*F26</f>
        <v>750000</v>
      </c>
      <c r="H26" s="72"/>
    </row>
    <row r="27" spans="2:8" ht="14.4" x14ac:dyDescent="0.3">
      <c r="B27" s="121"/>
      <c r="C27" s="130"/>
      <c r="D27" s="128"/>
      <c r="E27" s="126"/>
      <c r="F27" s="169"/>
      <c r="G27" s="169"/>
      <c r="H27" s="72"/>
    </row>
    <row r="28" spans="2:8" ht="14.4" x14ac:dyDescent="0.3">
      <c r="B28" s="121"/>
      <c r="C28" s="130" t="s">
        <v>78</v>
      </c>
      <c r="D28" s="104" t="s">
        <v>79</v>
      </c>
      <c r="E28" s="126">
        <v>1</v>
      </c>
      <c r="F28" s="169">
        <v>750000</v>
      </c>
      <c r="G28" s="169">
        <f>E28*F28</f>
        <v>750000</v>
      </c>
    </row>
    <row r="29" spans="2:8" ht="14.4" x14ac:dyDescent="0.3">
      <c r="B29" s="121"/>
      <c r="C29" s="130"/>
      <c r="D29" s="104"/>
      <c r="E29" s="126"/>
      <c r="F29" s="169"/>
      <c r="G29" s="169"/>
    </row>
    <row r="30" spans="2:8" ht="14.4" x14ac:dyDescent="0.3">
      <c r="B30" s="122" t="s">
        <v>80</v>
      </c>
      <c r="C30" s="124" t="s">
        <v>81</v>
      </c>
      <c r="D30" s="103" t="s">
        <v>82</v>
      </c>
      <c r="E30" s="126">
        <v>5</v>
      </c>
      <c r="F30" s="169">
        <v>750000</v>
      </c>
      <c r="G30" s="169">
        <f>E30*F30</f>
        <v>3750000</v>
      </c>
      <c r="H30" s="72"/>
    </row>
    <row r="31" spans="2:8" ht="14.4" x14ac:dyDescent="0.3">
      <c r="B31" s="123"/>
      <c r="C31" s="125"/>
      <c r="D31" s="104"/>
      <c r="E31" s="126"/>
      <c r="F31" s="169"/>
      <c r="G31" s="169"/>
      <c r="H31" s="72"/>
    </row>
    <row r="32" spans="2:8" ht="15.75" customHeight="1" x14ac:dyDescent="0.3">
      <c r="B32" s="156" t="s">
        <v>83</v>
      </c>
      <c r="C32" s="163" t="s">
        <v>84</v>
      </c>
      <c r="D32" s="127" t="s">
        <v>85</v>
      </c>
      <c r="E32" s="126">
        <v>3</v>
      </c>
      <c r="F32" s="169">
        <v>750000</v>
      </c>
      <c r="G32" s="169">
        <f>E32*F32</f>
        <v>2250000</v>
      </c>
      <c r="H32" s="72"/>
    </row>
    <row r="33" spans="2:8" ht="15" customHeight="1" x14ac:dyDescent="0.3">
      <c r="B33" s="157"/>
      <c r="C33" s="164"/>
      <c r="D33" s="128"/>
      <c r="E33" s="126"/>
      <c r="F33" s="169"/>
      <c r="G33" s="169"/>
      <c r="H33" s="72"/>
    </row>
    <row r="34" spans="2:8" ht="15.75" customHeight="1" x14ac:dyDescent="0.3">
      <c r="B34" s="156" t="s">
        <v>86</v>
      </c>
      <c r="C34" s="158" t="s">
        <v>87</v>
      </c>
      <c r="D34" s="103" t="s">
        <v>88</v>
      </c>
      <c r="E34" s="126">
        <v>5</v>
      </c>
      <c r="F34" s="169">
        <v>750000</v>
      </c>
      <c r="G34" s="169">
        <f>E34*F34</f>
        <v>3750000</v>
      </c>
      <c r="H34" s="72"/>
    </row>
    <row r="35" spans="2:8" ht="15.45" customHeight="1" x14ac:dyDescent="0.3">
      <c r="B35" s="157"/>
      <c r="C35" s="159"/>
      <c r="D35" s="104"/>
      <c r="E35" s="126"/>
      <c r="F35" s="169"/>
      <c r="G35" s="169"/>
      <c r="H35" s="72"/>
    </row>
    <row r="36" spans="2:8" ht="0.45" customHeight="1" x14ac:dyDescent="0.3">
      <c r="B36" s="157"/>
      <c r="C36" s="159"/>
      <c r="D36" s="104"/>
      <c r="E36" s="126"/>
      <c r="F36" s="169"/>
      <c r="G36" s="169"/>
      <c r="H36" s="72"/>
    </row>
    <row r="37" spans="2:8" ht="15.75" customHeight="1" x14ac:dyDescent="0.3">
      <c r="B37" s="160" t="s">
        <v>89</v>
      </c>
      <c r="C37" s="154" t="s">
        <v>90</v>
      </c>
      <c r="D37" s="118" t="s">
        <v>91</v>
      </c>
      <c r="E37" s="126">
        <v>2</v>
      </c>
      <c r="F37" s="169">
        <v>750000</v>
      </c>
      <c r="G37" s="169">
        <f>E37*F37</f>
        <v>1500000</v>
      </c>
      <c r="H37" s="72"/>
    </row>
    <row r="38" spans="2:8" ht="14.4" x14ac:dyDescent="0.3">
      <c r="B38" s="161"/>
      <c r="C38" s="155"/>
      <c r="D38" s="162"/>
      <c r="E38" s="126"/>
      <c r="F38" s="169"/>
      <c r="G38" s="169"/>
      <c r="H38" s="72"/>
    </row>
    <row r="39" spans="2:8" ht="15.75" customHeight="1" x14ac:dyDescent="0.3">
      <c r="B39" s="160" t="s">
        <v>80</v>
      </c>
      <c r="C39" s="154" t="s">
        <v>92</v>
      </c>
      <c r="D39" s="118" t="s">
        <v>93</v>
      </c>
      <c r="E39" s="126">
        <v>3</v>
      </c>
      <c r="F39" s="169">
        <v>750000</v>
      </c>
      <c r="G39" s="169">
        <f>E39*F39</f>
        <v>2250000</v>
      </c>
      <c r="H39" s="72"/>
    </row>
    <row r="40" spans="2:8" ht="15.45" customHeight="1" x14ac:dyDescent="0.3">
      <c r="B40" s="161"/>
      <c r="C40" s="155"/>
      <c r="D40" s="162"/>
      <c r="E40" s="126"/>
      <c r="F40" s="169"/>
      <c r="G40" s="169"/>
      <c r="H40" s="72"/>
    </row>
    <row r="41" spans="2:8" ht="0.45" customHeight="1" x14ac:dyDescent="0.3">
      <c r="B41" s="161"/>
      <c r="C41" s="155"/>
      <c r="D41" s="162"/>
      <c r="E41" s="126"/>
      <c r="F41" s="169"/>
      <c r="G41" s="169"/>
      <c r="H41" s="72"/>
    </row>
    <row r="42" spans="2:8" ht="15.75" customHeight="1" x14ac:dyDescent="0.3">
      <c r="B42" s="160" t="s">
        <v>89</v>
      </c>
      <c r="C42" s="154" t="s">
        <v>94</v>
      </c>
      <c r="D42" s="118" t="s">
        <v>95</v>
      </c>
      <c r="E42" s="126">
        <v>3</v>
      </c>
      <c r="F42" s="169">
        <v>750000</v>
      </c>
      <c r="G42" s="169">
        <f>E42*F42</f>
        <v>2250000</v>
      </c>
      <c r="H42" s="72"/>
    </row>
    <row r="43" spans="2:8" ht="15.75" customHeight="1" x14ac:dyDescent="0.3">
      <c r="B43" s="161"/>
      <c r="C43" s="155"/>
      <c r="D43" s="162"/>
      <c r="E43" s="126"/>
      <c r="F43" s="169"/>
      <c r="G43" s="169"/>
      <c r="H43" s="72"/>
    </row>
    <row r="44" spans="2:8" ht="15.75" customHeight="1" x14ac:dyDescent="0.3">
      <c r="B44" s="160" t="s">
        <v>86</v>
      </c>
      <c r="C44" s="154" t="s">
        <v>96</v>
      </c>
      <c r="D44" s="118" t="s">
        <v>97</v>
      </c>
      <c r="E44" s="126">
        <v>5</v>
      </c>
      <c r="F44" s="169">
        <v>750000</v>
      </c>
      <c r="G44" s="169">
        <f>E44*F44</f>
        <v>3750000</v>
      </c>
      <c r="H44" s="72"/>
    </row>
    <row r="45" spans="2:8" ht="13.5" customHeight="1" x14ac:dyDescent="0.3">
      <c r="B45" s="161"/>
      <c r="C45" s="155"/>
      <c r="D45" s="162"/>
      <c r="E45" s="168"/>
      <c r="F45" s="169"/>
      <c r="G45" s="169"/>
      <c r="H45" s="72"/>
    </row>
    <row r="46" spans="2:8" ht="15.75" customHeight="1" x14ac:dyDescent="0.3">
      <c r="B46" s="165" t="s">
        <v>98</v>
      </c>
      <c r="C46" s="166" t="s">
        <v>99</v>
      </c>
      <c r="D46" s="167" t="s">
        <v>100</v>
      </c>
      <c r="E46" s="126">
        <v>5</v>
      </c>
      <c r="F46" s="169">
        <v>750000</v>
      </c>
      <c r="G46" s="169">
        <f>E46*F46</f>
        <v>3750000</v>
      </c>
      <c r="H46" s="72"/>
    </row>
    <row r="47" spans="2:8" ht="14.4" x14ac:dyDescent="0.3">
      <c r="B47" s="165"/>
      <c r="C47" s="166"/>
      <c r="D47" s="167"/>
      <c r="E47" s="126"/>
      <c r="F47" s="169"/>
      <c r="G47" s="169"/>
      <c r="H47" s="72"/>
    </row>
    <row r="48" spans="2:8" ht="15.75" customHeight="1" x14ac:dyDescent="0.3">
      <c r="B48" s="72"/>
      <c r="C48" s="72"/>
      <c r="D48" s="72"/>
      <c r="E48" s="90" t="s">
        <v>184</v>
      </c>
      <c r="F48" s="91"/>
      <c r="G48" s="89">
        <f>SUM(G4:G47)</f>
        <v>45000000</v>
      </c>
      <c r="H48" s="72"/>
    </row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125">
    <mergeCell ref="G4:G5"/>
    <mergeCell ref="G6:G7"/>
    <mergeCell ref="G8:G9"/>
    <mergeCell ref="G10:G11"/>
    <mergeCell ref="G12:G13"/>
    <mergeCell ref="G42:G43"/>
    <mergeCell ref="G44:G45"/>
    <mergeCell ref="G46:G47"/>
    <mergeCell ref="G24:G25"/>
    <mergeCell ref="G26:G27"/>
    <mergeCell ref="G28:G29"/>
    <mergeCell ref="G30:G31"/>
    <mergeCell ref="G32:G33"/>
    <mergeCell ref="G34:G36"/>
    <mergeCell ref="G37:G38"/>
    <mergeCell ref="G39:G41"/>
    <mergeCell ref="F46:F47"/>
    <mergeCell ref="F26:F27"/>
    <mergeCell ref="F28:F29"/>
    <mergeCell ref="F30:F31"/>
    <mergeCell ref="F32:F33"/>
    <mergeCell ref="F34:F36"/>
    <mergeCell ref="G14:G15"/>
    <mergeCell ref="G16:G17"/>
    <mergeCell ref="G18:G19"/>
    <mergeCell ref="G20:G21"/>
    <mergeCell ref="G22:G23"/>
    <mergeCell ref="E32:E33"/>
    <mergeCell ref="E34:E36"/>
    <mergeCell ref="E37:E38"/>
    <mergeCell ref="E39:E41"/>
    <mergeCell ref="E42:E43"/>
    <mergeCell ref="E44:E45"/>
    <mergeCell ref="F4:F5"/>
    <mergeCell ref="F6:F7"/>
    <mergeCell ref="F8:F9"/>
    <mergeCell ref="F10:F11"/>
    <mergeCell ref="F12:F13"/>
    <mergeCell ref="F14:F15"/>
    <mergeCell ref="F18:F19"/>
    <mergeCell ref="F20:F21"/>
    <mergeCell ref="F22:F23"/>
    <mergeCell ref="F24:F25"/>
    <mergeCell ref="F16:F17"/>
    <mergeCell ref="F37:F38"/>
    <mergeCell ref="F39:F41"/>
    <mergeCell ref="F42:F43"/>
    <mergeCell ref="F44:F45"/>
    <mergeCell ref="E46:E47"/>
    <mergeCell ref="D39:D41"/>
    <mergeCell ref="D42:D43"/>
    <mergeCell ref="B44:B45"/>
    <mergeCell ref="B46:B47"/>
    <mergeCell ref="C44:C45"/>
    <mergeCell ref="C46:C47"/>
    <mergeCell ref="D44:D45"/>
    <mergeCell ref="D46:D47"/>
    <mergeCell ref="B39:B41"/>
    <mergeCell ref="B42:B43"/>
    <mergeCell ref="C37:C38"/>
    <mergeCell ref="C39:C41"/>
    <mergeCell ref="C42:C43"/>
    <mergeCell ref="D32:D33"/>
    <mergeCell ref="B34:B36"/>
    <mergeCell ref="C34:C36"/>
    <mergeCell ref="D34:D36"/>
    <mergeCell ref="B37:B38"/>
    <mergeCell ref="D37:D38"/>
    <mergeCell ref="B32:B33"/>
    <mergeCell ref="C32:C33"/>
    <mergeCell ref="B14:B17"/>
    <mergeCell ref="B20:B21"/>
    <mergeCell ref="C20:C21"/>
    <mergeCell ref="C16:C17"/>
    <mergeCell ref="B18:B19"/>
    <mergeCell ref="C18:C19"/>
    <mergeCell ref="C14:C15"/>
    <mergeCell ref="E4:E5"/>
    <mergeCell ref="B6:B7"/>
    <mergeCell ref="C6:C7"/>
    <mergeCell ref="D6:D7"/>
    <mergeCell ref="E6:E7"/>
    <mergeCell ref="D8:D9"/>
    <mergeCell ref="B8:B13"/>
    <mergeCell ref="E12:E13"/>
    <mergeCell ref="C8:C9"/>
    <mergeCell ref="C10:C11"/>
    <mergeCell ref="C12:C13"/>
    <mergeCell ref="B4:B5"/>
    <mergeCell ref="C4:C5"/>
    <mergeCell ref="D4:D5"/>
    <mergeCell ref="B26:B29"/>
    <mergeCell ref="B30:B31"/>
    <mergeCell ref="C30:C31"/>
    <mergeCell ref="E26:E27"/>
    <mergeCell ref="E28:E29"/>
    <mergeCell ref="E30:E31"/>
    <mergeCell ref="D26:D27"/>
    <mergeCell ref="D28:D29"/>
    <mergeCell ref="C26:C27"/>
    <mergeCell ref="C28:C29"/>
    <mergeCell ref="E48:F48"/>
    <mergeCell ref="B2:E2"/>
    <mergeCell ref="F2:G2"/>
    <mergeCell ref="D10:D11"/>
    <mergeCell ref="E8:E9"/>
    <mergeCell ref="D12:D13"/>
    <mergeCell ref="E10:E11"/>
    <mergeCell ref="D30:D31"/>
    <mergeCell ref="E14:E15"/>
    <mergeCell ref="E16:E17"/>
    <mergeCell ref="E18:E19"/>
    <mergeCell ref="D14:D15"/>
    <mergeCell ref="D16:D17"/>
    <mergeCell ref="D18:D19"/>
    <mergeCell ref="E20:E21"/>
    <mergeCell ref="E22:E23"/>
    <mergeCell ref="E24:E25"/>
    <mergeCell ref="D20:D21"/>
    <mergeCell ref="B22:B23"/>
    <mergeCell ref="C22:C23"/>
    <mergeCell ref="D22:D23"/>
    <mergeCell ref="B24:B25"/>
    <mergeCell ref="C24:C25"/>
    <mergeCell ref="D24:D25"/>
  </mergeCells>
  <pageMargins left="0.70866141732283472" right="0.70866141732283472" top="0.74803149606299213" bottom="0.74803149606299213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66"/>
  <sheetViews>
    <sheetView topLeftCell="A4" zoomScale="69" workbookViewId="0">
      <selection activeCell="D35" sqref="D35"/>
    </sheetView>
  </sheetViews>
  <sheetFormatPr baseColWidth="10" defaultColWidth="14.44140625" defaultRowHeight="15" customHeight="1" x14ac:dyDescent="0.3"/>
  <cols>
    <col min="1" max="1" width="53.44140625" customWidth="1"/>
    <col min="2" max="2" width="24.77734375" customWidth="1"/>
    <col min="3" max="3" width="12.21875" bestFit="1" customWidth="1"/>
    <col min="4" max="4" width="13.77734375" customWidth="1"/>
    <col min="5" max="5" width="17.44140625" customWidth="1"/>
    <col min="6" max="6" width="13.77734375" customWidth="1"/>
    <col min="7" max="7" width="10.77734375" customWidth="1"/>
    <col min="8" max="8" width="16.21875" customWidth="1"/>
    <col min="9" max="26" width="10.77734375" customWidth="1"/>
  </cols>
  <sheetData>
    <row r="2" spans="1:8" ht="14.4" x14ac:dyDescent="0.3">
      <c r="A2" s="16" t="s">
        <v>101</v>
      </c>
      <c r="B2" s="17">
        <v>0.02</v>
      </c>
      <c r="C2" s="18"/>
      <c r="D2" s="18"/>
      <c r="E2" s="19"/>
      <c r="F2" s="19"/>
      <c r="G2" s="19"/>
      <c r="H2" s="19"/>
    </row>
    <row r="3" spans="1:8" ht="14.4" x14ac:dyDescent="0.3">
      <c r="A3" s="16" t="s">
        <v>102</v>
      </c>
      <c r="B3" s="77">
        <v>2.5</v>
      </c>
      <c r="C3" s="19"/>
      <c r="D3" s="19"/>
      <c r="E3" s="19"/>
      <c r="F3" s="19"/>
      <c r="G3" s="19"/>
      <c r="H3" s="19"/>
    </row>
    <row r="4" spans="1:8" ht="14.4" x14ac:dyDescent="0.3">
      <c r="A4" s="16" t="s">
        <v>103</v>
      </c>
      <c r="B4" s="17">
        <v>0.05</v>
      </c>
      <c r="C4" s="19"/>
      <c r="D4" s="19"/>
      <c r="E4" s="19"/>
      <c r="F4" s="19"/>
      <c r="G4" s="19"/>
      <c r="H4" s="19"/>
    </row>
    <row r="5" spans="1:8" ht="14.4" x14ac:dyDescent="0.3">
      <c r="A5" s="16" t="s">
        <v>104</v>
      </c>
      <c r="B5" s="20">
        <v>120</v>
      </c>
      <c r="C5" s="19"/>
      <c r="D5" s="19"/>
      <c r="E5" s="19"/>
      <c r="F5" s="19"/>
      <c r="G5" s="19"/>
      <c r="H5" s="19"/>
    </row>
    <row r="6" spans="1:8" ht="14.4" x14ac:dyDescent="0.3">
      <c r="A6" s="19"/>
      <c r="B6" s="19"/>
      <c r="C6" s="19"/>
      <c r="D6" s="19"/>
      <c r="E6" s="19"/>
      <c r="F6" s="19"/>
      <c r="G6" s="19"/>
      <c r="H6" s="19"/>
    </row>
    <row r="7" spans="1:8" ht="14.4" x14ac:dyDescent="0.3">
      <c r="A7" s="188" t="s">
        <v>105</v>
      </c>
      <c r="B7" s="189"/>
      <c r="C7" s="189"/>
      <c r="D7" s="189"/>
      <c r="E7" s="189"/>
      <c r="F7" s="189"/>
      <c r="G7" s="189"/>
      <c r="H7" s="190"/>
    </row>
    <row r="8" spans="1:8" ht="14.4" x14ac:dyDescent="0.3">
      <c r="A8" s="191" t="s">
        <v>106</v>
      </c>
      <c r="B8" s="192"/>
      <c r="C8" s="192"/>
      <c r="D8" s="192"/>
      <c r="E8" s="192"/>
      <c r="F8" s="192"/>
      <c r="G8" s="192"/>
      <c r="H8" s="193"/>
    </row>
    <row r="9" spans="1:8" ht="26.4" x14ac:dyDescent="0.3">
      <c r="A9" s="21" t="s">
        <v>107</v>
      </c>
      <c r="B9" s="22" t="s">
        <v>108</v>
      </c>
      <c r="C9" s="22" t="s">
        <v>109</v>
      </c>
      <c r="D9" s="22" t="s">
        <v>110</v>
      </c>
      <c r="E9" s="22" t="s">
        <v>111</v>
      </c>
      <c r="F9" s="22" t="s">
        <v>112</v>
      </c>
      <c r="G9" s="23" t="s">
        <v>113</v>
      </c>
      <c r="H9" s="24" t="s">
        <v>114</v>
      </c>
    </row>
    <row r="10" spans="1:8" ht="14.4" x14ac:dyDescent="0.3">
      <c r="A10" s="25" t="s">
        <v>175</v>
      </c>
      <c r="B10" s="26">
        <v>3</v>
      </c>
      <c r="C10" s="27">
        <v>3000000</v>
      </c>
      <c r="D10" s="28">
        <f>C10*0.02</f>
        <v>60000</v>
      </c>
      <c r="E10" s="29">
        <f>(C10+D10)*0.52</f>
        <v>1591200</v>
      </c>
      <c r="F10" s="29">
        <f>(C10+E10+D10)*(1+$B$2)</f>
        <v>4744224</v>
      </c>
      <c r="G10" s="30">
        <f>F10/$B$5</f>
        <v>39535.199999999997</v>
      </c>
      <c r="H10" s="31">
        <f>F10*B10</f>
        <v>14232672</v>
      </c>
    </row>
    <row r="11" spans="1:8" ht="14.4" x14ac:dyDescent="0.3">
      <c r="A11" s="25" t="s">
        <v>176</v>
      </c>
      <c r="B11" s="26">
        <v>1</v>
      </c>
      <c r="C11" s="27">
        <v>4000000</v>
      </c>
      <c r="D11" s="28">
        <f t="shared" ref="D11:D12" si="0">C11*0.02</f>
        <v>80000</v>
      </c>
      <c r="E11" s="29">
        <f t="shared" ref="E11" si="1">(C11+D11)*0.52</f>
        <v>2121600</v>
      </c>
      <c r="F11" s="29">
        <f t="shared" ref="F11" si="2">(C11+E11+D11)*(1+$B$2)</f>
        <v>6325632</v>
      </c>
      <c r="G11" s="30">
        <f t="shared" ref="G11" si="3">F11/$B$5</f>
        <v>52713.599999999999</v>
      </c>
      <c r="H11" s="31">
        <f>F11*B11</f>
        <v>6325632</v>
      </c>
    </row>
    <row r="12" spans="1:8" ht="14.4" x14ac:dyDescent="0.3">
      <c r="A12" s="25" t="s">
        <v>23</v>
      </c>
      <c r="B12" s="26">
        <v>1</v>
      </c>
      <c r="C12" s="27">
        <v>5000000</v>
      </c>
      <c r="D12" s="28">
        <f t="shared" si="0"/>
        <v>100000</v>
      </c>
      <c r="E12" s="29">
        <f t="shared" ref="E12" si="4">(C12+D12)*0.52</f>
        <v>2652000</v>
      </c>
      <c r="F12" s="29">
        <f t="shared" ref="F12" si="5">(C12+E12+D12)*(1+$B$2)</f>
        <v>7907040</v>
      </c>
      <c r="G12" s="30">
        <f t="shared" ref="G12" si="6">F12/$B$5</f>
        <v>65892</v>
      </c>
      <c r="H12" s="31">
        <f t="shared" ref="H12" si="7">F12*B12</f>
        <v>7907040</v>
      </c>
    </row>
    <row r="13" spans="1:8" ht="15.75" customHeight="1" x14ac:dyDescent="0.3">
      <c r="A13" s="33" t="s">
        <v>116</v>
      </c>
      <c r="B13" s="34">
        <f>SUM(B10:B12)</f>
        <v>5</v>
      </c>
      <c r="C13" s="35"/>
      <c r="D13" s="35"/>
      <c r="E13" s="36"/>
      <c r="F13" s="37" t="s">
        <v>117</v>
      </c>
      <c r="G13" s="38"/>
      <c r="H13" s="39">
        <f>SUM(H10:H12)</f>
        <v>28465344</v>
      </c>
    </row>
    <row r="14" spans="1:8" ht="15.75" customHeight="1" x14ac:dyDescent="0.3">
      <c r="A14" s="19"/>
      <c r="B14" s="19"/>
      <c r="C14" s="19"/>
      <c r="D14" s="19"/>
      <c r="E14" s="196" t="s">
        <v>118</v>
      </c>
      <c r="F14" s="197"/>
      <c r="G14" s="198"/>
      <c r="H14" s="39">
        <f>H13*B3</f>
        <v>71163360</v>
      </c>
    </row>
    <row r="15" spans="1:8" ht="15.75" customHeight="1" x14ac:dyDescent="0.3">
      <c r="A15" s="19"/>
      <c r="B15" s="19"/>
      <c r="C15" s="19"/>
      <c r="D15" s="19"/>
      <c r="E15" s="40"/>
      <c r="F15" s="40"/>
      <c r="G15" s="40"/>
      <c r="H15" s="40"/>
    </row>
    <row r="16" spans="1:8" ht="15.75" customHeight="1" x14ac:dyDescent="0.3">
      <c r="A16" s="19"/>
      <c r="B16" s="19"/>
      <c r="C16" s="19"/>
      <c r="D16" s="19"/>
      <c r="E16" s="40"/>
      <c r="F16" s="40"/>
      <c r="G16" s="40"/>
      <c r="H16" s="40"/>
    </row>
    <row r="17" spans="1:8" ht="15.75" customHeight="1" x14ac:dyDescent="0.3">
      <c r="A17" s="19"/>
      <c r="B17" s="19"/>
      <c r="C17" s="19"/>
      <c r="D17" s="19"/>
      <c r="E17" s="19"/>
      <c r="F17" s="19"/>
      <c r="G17" s="19"/>
      <c r="H17" s="19"/>
    </row>
    <row r="18" spans="1:8" ht="15.75" customHeight="1" x14ac:dyDescent="0.3">
      <c r="A18" s="194" t="s">
        <v>119</v>
      </c>
      <c r="B18" s="195"/>
      <c r="C18" s="195"/>
      <c r="D18" s="195"/>
      <c r="E18" s="195"/>
      <c r="F18" s="19"/>
      <c r="G18" s="19"/>
      <c r="H18" s="19"/>
    </row>
    <row r="19" spans="1:8" ht="35.1" customHeight="1" x14ac:dyDescent="0.3">
      <c r="A19" s="41" t="s">
        <v>120</v>
      </c>
      <c r="B19" s="42" t="s">
        <v>121</v>
      </c>
      <c r="C19" s="43" t="s">
        <v>108</v>
      </c>
      <c r="D19" s="42" t="s">
        <v>122</v>
      </c>
      <c r="E19" s="42" t="s">
        <v>123</v>
      </c>
      <c r="F19" s="19"/>
      <c r="G19" s="19"/>
      <c r="H19" s="19"/>
    </row>
    <row r="20" spans="1:8" ht="15.75" customHeight="1" x14ac:dyDescent="0.3">
      <c r="A20" s="32" t="s">
        <v>180</v>
      </c>
      <c r="B20" s="44" t="s">
        <v>124</v>
      </c>
      <c r="C20" s="44">
        <v>1</v>
      </c>
      <c r="D20" s="44">
        <v>52000</v>
      </c>
      <c r="E20" s="45">
        <f>C20*D20</f>
        <v>52000</v>
      </c>
      <c r="F20" s="19"/>
      <c r="G20" s="19"/>
      <c r="H20" s="19"/>
    </row>
    <row r="21" spans="1:8" ht="15.75" customHeight="1" x14ac:dyDescent="0.3">
      <c r="A21" s="46" t="s">
        <v>178</v>
      </c>
      <c r="B21" s="44" t="s">
        <v>124</v>
      </c>
      <c r="C21" s="45">
        <v>1</v>
      </c>
      <c r="D21" s="45">
        <v>179900</v>
      </c>
      <c r="E21" s="45">
        <f t="shared" ref="E21:E22" si="8">C21*D21</f>
        <v>179900</v>
      </c>
      <c r="F21" s="19"/>
      <c r="G21" s="19"/>
      <c r="H21" s="19"/>
    </row>
    <row r="22" spans="1:8" ht="15.75" customHeight="1" x14ac:dyDescent="0.3">
      <c r="A22" s="32" t="s">
        <v>179</v>
      </c>
      <c r="B22" s="44" t="s">
        <v>124</v>
      </c>
      <c r="C22" s="44">
        <v>15</v>
      </c>
      <c r="D22" s="44">
        <v>90000</v>
      </c>
      <c r="E22" s="45">
        <f t="shared" si="8"/>
        <v>1350000</v>
      </c>
      <c r="F22" s="19"/>
      <c r="G22" s="19"/>
      <c r="H22" s="19"/>
    </row>
    <row r="23" spans="1:8" ht="15.75" customHeight="1" x14ac:dyDescent="0.3">
      <c r="A23" s="47"/>
      <c r="B23" s="48"/>
      <c r="C23" s="48"/>
      <c r="D23" s="49" t="s">
        <v>125</v>
      </c>
      <c r="E23" s="50">
        <f>SUM(E20:E22)</f>
        <v>1581900</v>
      </c>
      <c r="F23" s="19"/>
      <c r="G23" s="19"/>
      <c r="H23" s="19"/>
    </row>
    <row r="24" spans="1:8" ht="15.75" customHeight="1" x14ac:dyDescent="0.3">
      <c r="A24" s="19"/>
      <c r="B24" s="19"/>
      <c r="C24" s="19"/>
      <c r="D24" s="19"/>
      <c r="E24" s="19"/>
      <c r="F24" s="19"/>
      <c r="G24" s="19"/>
      <c r="H24" s="19"/>
    </row>
    <row r="25" spans="1:8" ht="7.5" customHeight="1" x14ac:dyDescent="0.3">
      <c r="A25" s="19"/>
      <c r="B25" s="19"/>
      <c r="C25" s="19"/>
      <c r="D25" s="19"/>
      <c r="E25" s="19"/>
      <c r="F25" s="19"/>
      <c r="G25" s="19"/>
      <c r="H25" s="19"/>
    </row>
    <row r="26" spans="1:8" ht="15.75" customHeight="1" x14ac:dyDescent="0.3">
      <c r="C26" s="19"/>
      <c r="D26" s="19"/>
      <c r="E26" s="19"/>
      <c r="F26" s="19"/>
      <c r="G26" s="19"/>
      <c r="H26" s="19"/>
    </row>
    <row r="27" spans="1:8" ht="15.75" customHeight="1" x14ac:dyDescent="0.3">
      <c r="A27" s="51" t="s">
        <v>126</v>
      </c>
      <c r="B27" s="51" t="s">
        <v>127</v>
      </c>
      <c r="C27" s="19"/>
      <c r="D27" s="19"/>
      <c r="E27" s="19"/>
      <c r="F27" s="19"/>
      <c r="G27" s="19"/>
      <c r="H27" s="19"/>
    </row>
    <row r="28" spans="1:8" ht="15.75" customHeight="1" x14ac:dyDescent="0.3">
      <c r="A28" s="9" t="s">
        <v>183</v>
      </c>
      <c r="B28" s="79">
        <v>500000</v>
      </c>
      <c r="C28" s="19"/>
      <c r="D28" s="19"/>
      <c r="E28" s="19"/>
      <c r="F28" s="19"/>
      <c r="G28" s="19"/>
      <c r="H28" s="19"/>
    </row>
    <row r="29" spans="1:8" ht="15.75" customHeight="1" x14ac:dyDescent="0.3">
      <c r="A29" s="9" t="s">
        <v>182</v>
      </c>
      <c r="B29" s="79">
        <v>180000</v>
      </c>
      <c r="C29" s="19"/>
      <c r="D29" s="19"/>
      <c r="E29" s="19"/>
      <c r="F29" s="19"/>
      <c r="G29" s="19"/>
      <c r="H29" s="19"/>
    </row>
    <row r="30" spans="1:8" ht="15.75" customHeight="1" x14ac:dyDescent="0.3">
      <c r="A30" s="9" t="s">
        <v>181</v>
      </c>
      <c r="B30" s="79">
        <v>320000</v>
      </c>
      <c r="C30" s="19"/>
      <c r="D30" s="19"/>
      <c r="E30" s="19"/>
      <c r="F30" s="19"/>
      <c r="G30" s="19"/>
      <c r="H30" s="19"/>
    </row>
    <row r="31" spans="1:8" ht="15.75" customHeight="1" x14ac:dyDescent="0.3">
      <c r="A31" s="52" t="s">
        <v>128</v>
      </c>
      <c r="B31" s="52">
        <f>SUM(B28:B30)</f>
        <v>1000000</v>
      </c>
      <c r="C31" s="19"/>
      <c r="D31" s="19"/>
      <c r="E31" s="19"/>
      <c r="F31" s="19"/>
      <c r="G31" s="19"/>
      <c r="H31" s="19"/>
    </row>
    <row r="32" spans="1:8" ht="15.75" customHeight="1" x14ac:dyDescent="0.3">
      <c r="C32" s="19"/>
      <c r="D32" s="19"/>
      <c r="E32" s="19"/>
      <c r="F32" s="19"/>
      <c r="G32" s="19"/>
      <c r="H32" s="19"/>
    </row>
    <row r="33" spans="1:8" ht="15.75" customHeight="1" x14ac:dyDescent="0.3">
      <c r="A33" s="53" t="s">
        <v>129</v>
      </c>
      <c r="B33" s="81">
        <f>H14</f>
        <v>71163360</v>
      </c>
      <c r="C33" s="19"/>
      <c r="D33" s="19"/>
      <c r="E33" s="19"/>
      <c r="F33" s="19"/>
      <c r="G33" s="19"/>
      <c r="H33" s="19"/>
    </row>
    <row r="34" spans="1:8" ht="15.75" customHeight="1" x14ac:dyDescent="0.3">
      <c r="A34" s="53" t="s">
        <v>119</v>
      </c>
      <c r="B34" s="81">
        <f>E23</f>
        <v>1581900</v>
      </c>
      <c r="C34" s="19"/>
      <c r="D34" s="19"/>
      <c r="E34" s="19"/>
      <c r="F34" s="19"/>
      <c r="G34" s="19"/>
      <c r="H34" s="19"/>
    </row>
    <row r="35" spans="1:8" ht="15.75" customHeight="1" x14ac:dyDescent="0.3">
      <c r="A35" s="54" t="s">
        <v>130</v>
      </c>
      <c r="B35" s="80">
        <f>B31</f>
        <v>1000000</v>
      </c>
      <c r="C35" s="19"/>
      <c r="D35" s="19"/>
      <c r="E35" s="19"/>
      <c r="F35" s="19"/>
      <c r="G35" s="19"/>
      <c r="H35" s="19"/>
    </row>
    <row r="36" spans="1:8" ht="15.75" customHeight="1" x14ac:dyDescent="0.3">
      <c r="A36" s="55" t="s">
        <v>131</v>
      </c>
      <c r="B36" s="82">
        <f>(B33+B34+B35)*B4</f>
        <v>3687263</v>
      </c>
      <c r="C36" s="19"/>
      <c r="D36" s="19"/>
      <c r="E36" s="19"/>
      <c r="F36" s="19"/>
      <c r="G36" s="19"/>
      <c r="H36" s="19"/>
    </row>
    <row r="37" spans="1:8" ht="15.75" customHeight="1" x14ac:dyDescent="0.3">
      <c r="A37" s="56" t="s">
        <v>132</v>
      </c>
      <c r="B37" s="83">
        <f>(B33+B34+B35)*0.1</f>
        <v>7374526</v>
      </c>
      <c r="C37" s="19"/>
      <c r="D37" s="19"/>
      <c r="E37" s="19"/>
      <c r="F37" s="19"/>
      <c r="G37" s="19"/>
      <c r="H37" s="19"/>
    </row>
    <row r="38" spans="1:8" ht="15.75" customHeight="1" x14ac:dyDescent="0.3">
      <c r="A38" s="57" t="s">
        <v>133</v>
      </c>
      <c r="B38" s="84">
        <f>SUM(B33:B36)</f>
        <v>77432523</v>
      </c>
      <c r="C38" s="19"/>
      <c r="D38" s="19"/>
      <c r="E38" s="19"/>
      <c r="F38" s="19"/>
      <c r="G38" s="19"/>
      <c r="H38" s="19"/>
    </row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</sheetData>
  <mergeCells count="4">
    <mergeCell ref="A7:H7"/>
    <mergeCell ref="A8:H8"/>
    <mergeCell ref="A18:E18"/>
    <mergeCell ref="E14:G14"/>
  </mergeCells>
  <dataValidations count="1">
    <dataValidation type="list" allowBlank="1" showErrorMessage="1" sqref="B20:B22" xr:uid="{00000000-0002-0000-0200-000000000000}">
      <formula1>"Directo,Indirecto"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002"/>
  <sheetViews>
    <sheetView zoomScale="81" workbookViewId="0">
      <selection activeCell="C37" sqref="C37"/>
    </sheetView>
  </sheetViews>
  <sheetFormatPr baseColWidth="10" defaultColWidth="14.44140625" defaultRowHeight="15" customHeight="1" x14ac:dyDescent="0.3"/>
  <cols>
    <col min="1" max="1" width="31.77734375" customWidth="1"/>
    <col min="3" max="3" width="18.77734375" customWidth="1"/>
    <col min="4" max="5" width="10.77734375" customWidth="1"/>
    <col min="6" max="6" width="22" customWidth="1"/>
    <col min="7" max="26" width="10.77734375" customWidth="1"/>
  </cols>
  <sheetData>
    <row r="2" spans="1:8" ht="14.4" x14ac:dyDescent="0.3">
      <c r="F2" s="64" t="s">
        <v>134</v>
      </c>
    </row>
    <row r="3" spans="1:8" ht="14.4" x14ac:dyDescent="0.3">
      <c r="A3" s="58"/>
      <c r="B3" s="58"/>
      <c r="C3" s="58"/>
      <c r="F3" s="58" t="s">
        <v>135</v>
      </c>
      <c r="G3" s="58">
        <v>1300000</v>
      </c>
    </row>
    <row r="4" spans="1:8" ht="14.4" x14ac:dyDescent="0.3">
      <c r="F4" s="58" t="s">
        <v>136</v>
      </c>
      <c r="G4" s="58">
        <v>162000</v>
      </c>
      <c r="H4" s="58" t="s">
        <v>137</v>
      </c>
    </row>
    <row r="5" spans="1:8" ht="14.4" x14ac:dyDescent="0.3">
      <c r="A5" s="199" t="s">
        <v>138</v>
      </c>
      <c r="B5" s="200"/>
      <c r="C5" s="200"/>
    </row>
    <row r="6" spans="1:8" ht="14.4" x14ac:dyDescent="0.3">
      <c r="A6" s="59" t="s">
        <v>139</v>
      </c>
      <c r="B6" s="59" t="s">
        <v>140</v>
      </c>
      <c r="C6" s="59" t="s">
        <v>141</v>
      </c>
    </row>
    <row r="7" spans="1:8" ht="14.4" x14ac:dyDescent="0.3">
      <c r="A7" s="60" t="s">
        <v>142</v>
      </c>
      <c r="B7" s="9"/>
      <c r="C7" s="10">
        <v>120</v>
      </c>
    </row>
    <row r="8" spans="1:8" ht="14.4" x14ac:dyDescent="0.3">
      <c r="A8" s="60" t="s">
        <v>143</v>
      </c>
      <c r="B8" s="9"/>
      <c r="C8" s="10">
        <v>3000000</v>
      </c>
    </row>
    <row r="9" spans="1:8" ht="14.4" x14ac:dyDescent="0.3">
      <c r="A9" s="60" t="s">
        <v>136</v>
      </c>
      <c r="B9" s="61" t="s">
        <v>115</v>
      </c>
      <c r="C9" s="10">
        <v>249095</v>
      </c>
    </row>
    <row r="10" spans="1:8" ht="14.4" x14ac:dyDescent="0.3">
      <c r="A10" s="60" t="s">
        <v>144</v>
      </c>
      <c r="B10" s="9"/>
      <c r="C10" s="10">
        <f>SUM(C8:C9)</f>
        <v>3249095</v>
      </c>
    </row>
    <row r="11" spans="1:8" ht="14.4" x14ac:dyDescent="0.3">
      <c r="A11" s="60"/>
      <c r="B11" s="9"/>
      <c r="C11" s="10"/>
    </row>
    <row r="12" spans="1:8" ht="14.4" x14ac:dyDescent="0.3">
      <c r="A12" s="60" t="s">
        <v>145</v>
      </c>
      <c r="B12" s="62">
        <v>8.3299999999999999E-2</v>
      </c>
      <c r="C12" s="10">
        <f t="shared" ref="C12:C15" si="0">C$8*B12</f>
        <v>249900</v>
      </c>
    </row>
    <row r="13" spans="1:8" ht="14.4" x14ac:dyDescent="0.3">
      <c r="A13" s="60" t="s">
        <v>146</v>
      </c>
      <c r="B13" s="62">
        <v>8.3299999999999999E-2</v>
      </c>
      <c r="C13" s="10">
        <f t="shared" si="0"/>
        <v>249900</v>
      </c>
    </row>
    <row r="14" spans="1:8" ht="14.4" x14ac:dyDescent="0.3">
      <c r="A14" s="60" t="s">
        <v>147</v>
      </c>
      <c r="B14" s="62">
        <v>1.1999999999999999E-3</v>
      </c>
      <c r="C14" s="10">
        <f t="shared" si="0"/>
        <v>3599.9999999999995</v>
      </c>
    </row>
    <row r="15" spans="1:8" ht="14.4" x14ac:dyDescent="0.3">
      <c r="A15" s="60" t="s">
        <v>148</v>
      </c>
      <c r="B15" s="61">
        <v>4.1669999999999999E-2</v>
      </c>
      <c r="C15" s="10">
        <f t="shared" si="0"/>
        <v>125010</v>
      </c>
    </row>
    <row r="16" spans="1:8" ht="14.4" x14ac:dyDescent="0.3">
      <c r="A16" s="60"/>
      <c r="B16" s="9"/>
      <c r="C16" s="10"/>
    </row>
    <row r="17" spans="1:3" ht="14.4" x14ac:dyDescent="0.3">
      <c r="A17" s="60" t="s">
        <v>149</v>
      </c>
      <c r="B17" s="61">
        <f>SUM(B12:B15)</f>
        <v>0.20946999999999999</v>
      </c>
      <c r="C17" s="10">
        <f>SUM(C12:C16)</f>
        <v>628410</v>
      </c>
    </row>
    <row r="18" spans="1:3" ht="14.4" x14ac:dyDescent="0.3">
      <c r="A18" s="60"/>
      <c r="B18" s="9"/>
      <c r="C18" s="10"/>
    </row>
    <row r="19" spans="1:3" ht="14.4" x14ac:dyDescent="0.3">
      <c r="A19" s="60" t="s">
        <v>150</v>
      </c>
      <c r="B19" s="62">
        <v>8.5000000000000006E-2</v>
      </c>
      <c r="C19" s="10">
        <f t="shared" ref="C19:C22" si="1">C$8*B19</f>
        <v>255000.00000000003</v>
      </c>
    </row>
    <row r="20" spans="1:3" ht="14.4" x14ac:dyDescent="0.3">
      <c r="A20" s="60" t="s">
        <v>151</v>
      </c>
      <c r="B20" s="62">
        <v>0.12</v>
      </c>
      <c r="C20" s="10">
        <f t="shared" si="1"/>
        <v>360000</v>
      </c>
    </row>
    <row r="21" spans="1:3" ht="15.75" customHeight="1" x14ac:dyDescent="0.3">
      <c r="A21" s="60" t="s">
        <v>152</v>
      </c>
      <c r="B21" s="62">
        <v>0.09</v>
      </c>
      <c r="C21" s="10">
        <f t="shared" si="1"/>
        <v>270000</v>
      </c>
    </row>
    <row r="22" spans="1:3" ht="15.75" customHeight="1" x14ac:dyDescent="0.3">
      <c r="A22" s="60" t="s">
        <v>153</v>
      </c>
      <c r="B22" s="62">
        <v>5.2199999999999998E-3</v>
      </c>
      <c r="C22" s="10">
        <f t="shared" si="1"/>
        <v>15660</v>
      </c>
    </row>
    <row r="23" spans="1:3" ht="15.75" customHeight="1" x14ac:dyDescent="0.3">
      <c r="A23" s="60"/>
      <c r="B23" s="9"/>
      <c r="C23" s="9"/>
    </row>
    <row r="24" spans="1:3" ht="15.75" customHeight="1" x14ac:dyDescent="0.3">
      <c r="A24" s="60" t="s">
        <v>154</v>
      </c>
      <c r="B24" s="62">
        <f t="shared" ref="B24:C24" si="2">SUM(B19:B23)</f>
        <v>0.30022000000000004</v>
      </c>
      <c r="C24" s="10">
        <f t="shared" si="2"/>
        <v>900660</v>
      </c>
    </row>
    <row r="25" spans="1:3" ht="15.75" customHeight="1" x14ac:dyDescent="0.3">
      <c r="A25" s="60"/>
      <c r="B25" s="9"/>
      <c r="C25" s="9"/>
    </row>
    <row r="26" spans="1:3" ht="15.75" customHeight="1" x14ac:dyDescent="0.3">
      <c r="A26" s="60" t="s">
        <v>155</v>
      </c>
      <c r="B26" s="9"/>
      <c r="C26" s="63">
        <f>C10+C17+C24</f>
        <v>4778165</v>
      </c>
    </row>
    <row r="27" spans="1:3" ht="15.75" customHeight="1" x14ac:dyDescent="0.3">
      <c r="A27" s="60" t="s">
        <v>156</v>
      </c>
      <c r="B27" s="9"/>
      <c r="C27" s="63">
        <f>C26*12</f>
        <v>57337980</v>
      </c>
    </row>
    <row r="28" spans="1:3" ht="15.75" customHeight="1" x14ac:dyDescent="0.3">
      <c r="A28" s="60" t="s">
        <v>157</v>
      </c>
      <c r="B28" s="9"/>
      <c r="C28" s="63">
        <f>C26/C7</f>
        <v>39818.041666666664</v>
      </c>
    </row>
    <row r="29" spans="1:3" ht="15.75" customHeight="1" x14ac:dyDescent="0.3">
      <c r="A29" s="58"/>
      <c r="B29" s="58"/>
      <c r="C29" s="58"/>
    </row>
    <row r="30" spans="1:3" ht="15.75" customHeight="1" x14ac:dyDescent="0.3">
      <c r="A30" s="58"/>
      <c r="B30" s="58"/>
      <c r="C30" s="58"/>
    </row>
    <row r="31" spans="1:3" ht="15.75" customHeight="1" x14ac:dyDescent="0.3">
      <c r="A31" s="64"/>
      <c r="B31" s="65"/>
      <c r="C31" s="58"/>
    </row>
    <row r="32" spans="1:3" ht="15.75" customHeight="1" x14ac:dyDescent="0.3">
      <c r="A32" s="64"/>
      <c r="B32" s="65"/>
      <c r="C32" s="58"/>
    </row>
    <row r="33" spans="1:3" ht="15.75" customHeight="1" x14ac:dyDescent="0.3">
      <c r="A33" s="66" t="s">
        <v>158</v>
      </c>
      <c r="B33" s="10">
        <v>60</v>
      </c>
      <c r="C33" s="58"/>
    </row>
    <row r="34" spans="1:3" ht="15.75" customHeight="1" x14ac:dyDescent="0.3">
      <c r="A34" s="66" t="s">
        <v>159</v>
      </c>
      <c r="B34" s="10">
        <v>24</v>
      </c>
      <c r="C34" s="58"/>
    </row>
    <row r="35" spans="1:3" ht="15.75" customHeight="1" x14ac:dyDescent="0.3">
      <c r="A35" s="66" t="s">
        <v>160</v>
      </c>
      <c r="B35" s="10">
        <f>Presupuesto!H13</f>
        <v>28465344</v>
      </c>
    </row>
    <row r="36" spans="1:3" ht="15.75" customHeight="1" x14ac:dyDescent="0.3">
      <c r="A36" s="66" t="s">
        <v>161</v>
      </c>
      <c r="B36" s="10">
        <f>B35/B34</f>
        <v>1186056</v>
      </c>
    </row>
    <row r="37" spans="1:3" ht="15.75" customHeight="1" x14ac:dyDescent="0.3">
      <c r="A37" s="66" t="s">
        <v>162</v>
      </c>
      <c r="B37" s="10">
        <f>B33*B36</f>
        <v>71163360</v>
      </c>
    </row>
    <row r="38" spans="1:3" ht="15.75" customHeight="1" x14ac:dyDescent="0.3"/>
    <row r="39" spans="1:3" ht="15.75" customHeight="1" x14ac:dyDescent="0.3"/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1">
    <mergeCell ref="A5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Estimar CostosxHora</vt:lpstr>
      <vt:lpstr>Estimar por puntos de historia</vt:lpstr>
      <vt:lpstr>Presupuesto</vt:lpstr>
      <vt:lpstr>costo por recurso o punto de 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JENNIFER LOPEZ NASTAR</cp:lastModifiedBy>
  <cp:revision/>
  <dcterms:created xsi:type="dcterms:W3CDTF">2008-07-30T16:49:19Z</dcterms:created>
  <dcterms:modified xsi:type="dcterms:W3CDTF">2026-04-28T13:40:43Z</dcterms:modified>
  <cp:category/>
  <cp:contentStatus/>
</cp:coreProperties>
</file>